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pivotTables/pivotTable4.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ocuments\Study\Flow Domain\Excel\Projects\"/>
    </mc:Choice>
  </mc:AlternateContent>
  <xr:revisionPtr revIDLastSave="0" documentId="13_ncr:1_{50DB769B-5854-4F54-B61D-FE28C98B72E9}" xr6:coauthVersionLast="36" xr6:coauthVersionMax="36" xr10:uidLastSave="{00000000-0000-0000-0000-000000000000}"/>
  <bookViews>
    <workbookView xWindow="0" yWindow="0" windowWidth="20490" windowHeight="7425" firstSheet="1" activeTab="5" xr2:uid="{06E983AD-5086-43DC-8EDB-B68ADB5464A7}"/>
  </bookViews>
  <sheets>
    <sheet name="Daily Expense" sheetId="2" r:id="rId1"/>
    <sheet name="Category Analysis" sheetId="3" r:id="rId2"/>
    <sheet name="Payment Analysis" sheetId="4" r:id="rId3"/>
    <sheet name="Trend Analysis" sheetId="5" r:id="rId4"/>
    <sheet name="Extra Effort" sheetId="7" r:id="rId5"/>
    <sheet name="Dashboard" sheetId="9" r:id="rId6"/>
  </sheets>
  <definedNames>
    <definedName name="ExternalData_1" localSheetId="0" hidden="1">'Daily Expense'!$A$1:$D$61</definedName>
    <definedName name="Slicer_Category">#N/A</definedName>
    <definedName name="Slicer_Payment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522F8A-B045-4B05-892D-687AADF89D79}" keepAlive="1" name="Query - Project data" description="Connection to the 'Project data' query in the workbook." type="5" refreshedVersion="6" background="1" saveData="1">
    <dbPr connection="Provider=Microsoft.Mashup.OleDb.1;Data Source=$Workbook$;Location=Project data;Extended Properties=&quot;&quot;" command="SELECT * FROM [Project data]"/>
  </connection>
</connections>
</file>

<file path=xl/sharedStrings.xml><?xml version="1.0" encoding="utf-8"?>
<sst xmlns="http://schemas.openxmlformats.org/spreadsheetml/2006/main" count="150" uniqueCount="21">
  <si>
    <t>Date</t>
  </si>
  <si>
    <t>Category</t>
  </si>
  <si>
    <t>Amount</t>
  </si>
  <si>
    <t>Payment Mode</t>
  </si>
  <si>
    <t>Food</t>
  </si>
  <si>
    <t>UPI</t>
  </si>
  <si>
    <t>Transport</t>
  </si>
  <si>
    <t>Cash</t>
  </si>
  <si>
    <t>Shopping</t>
  </si>
  <si>
    <t>Card</t>
  </si>
  <si>
    <t>Bills</t>
  </si>
  <si>
    <t>Entertainment</t>
  </si>
  <si>
    <t>Row Labels</t>
  </si>
  <si>
    <t>Grand Total</t>
  </si>
  <si>
    <t>Sum of Amount</t>
  </si>
  <si>
    <t>Month</t>
  </si>
  <si>
    <t>Day</t>
  </si>
  <si>
    <t>Spending Level</t>
  </si>
  <si>
    <t>High</t>
  </si>
  <si>
    <t>Low</t>
  </si>
  <si>
    <t>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</si>
</sst>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6" fontId="0" fillId="0" borderId="0" xfId="0" applyNumberFormat="1" applyAlignment="1">
      <alignment horizontal="left"/>
    </xf>
    <xf numFmtId="10" fontId="0" fillId="0" borderId="0" xfId="0" applyNumberFormat="1"/>
    <xf numFmtId="0" fontId="0" fillId="0" borderId="0" xfId="0" applyBorder="1"/>
    <xf numFmtId="22" fontId="0" fillId="0" borderId="0" xfId="0" applyNumberFormat="1" applyBorder="1"/>
  </cellXfs>
  <cellStyles count="1">
    <cellStyle name="Normal" xfId="0" builtinId="0"/>
  </cellStyles>
  <dxfs count="5">
    <dxf>
      <numFmt numFmtId="0" formatCode="General"/>
    </dxf>
    <dxf>
      <numFmt numFmtId="0" formatCode="General"/>
    </dxf>
    <dxf>
      <numFmt numFmtId="0" formatCode="General"/>
    </dxf>
    <dxf>
      <numFmt numFmtId="27" formatCode="dd/mm/yyyy\ hh:mm"/>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[Project.xlsx]Payment Analysis!PivotTable2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dk1"/>
                </a:solidFill>
                <a:latin typeface="+mn-lt"/>
                <a:ea typeface="+mn-ea"/>
                <a:cs typeface="+mn-cs"/>
              </a:rPr>
              <a:t>Spending</a:t>
            </a:r>
            <a:r>
              <a:rPr lang="en-US" b="1" baseline="0">
                <a:solidFill>
                  <a:schemeClr val="dk1"/>
                </a:solidFill>
                <a:latin typeface="+mn-lt"/>
                <a:ea typeface="+mn-ea"/>
                <a:cs typeface="+mn-cs"/>
              </a:rPr>
              <a:t> by Payment Method</a:t>
            </a:r>
            <a:endParaRPr lang="en-US" b="1"/>
          </a:p>
        </c:rich>
      </c:tx>
      <c:layout>
        <c:manualLayout>
          <c:xMode val="edge"/>
          <c:yMode val="edge"/>
          <c:x val="0.33149054701201713"/>
          <c:y val="9.2522744491762079E-2"/>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bar"/>
        <c:grouping val="clustered"/>
        <c:varyColors val="0"/>
        <c:ser>
          <c:idx val="0"/>
          <c:order val="0"/>
          <c:tx>
            <c:strRef>
              <c:f>'Payment Analysis'!$B$3</c:f>
              <c:strCache>
                <c:ptCount val="1"/>
                <c:pt idx="0">
                  <c:v>Total</c:v>
                </c:pt>
              </c:strCache>
            </c:strRef>
          </c:tx>
          <c:spPr>
            <a:solidFill>
              <a:schemeClr val="accent6"/>
            </a:solidFill>
            <a:ln>
              <a:noFill/>
            </a:ln>
            <a:effectLst/>
          </c:spPr>
          <c:invertIfNegative val="0"/>
          <c:cat>
            <c:strRef>
              <c:f>'Payment Analysis'!$A$4:$A$7</c:f>
              <c:strCache>
                <c:ptCount val="3"/>
                <c:pt idx="0">
                  <c:v>Card</c:v>
                </c:pt>
                <c:pt idx="1">
                  <c:v>Cash</c:v>
                </c:pt>
                <c:pt idx="2">
                  <c:v>UPI</c:v>
                </c:pt>
              </c:strCache>
            </c:strRef>
          </c:cat>
          <c:val>
            <c:numRef>
              <c:f>'Payment Analysis'!$B$4:$B$7</c:f>
              <c:numCache>
                <c:formatCode>General</c:formatCode>
                <c:ptCount val="3"/>
                <c:pt idx="0">
                  <c:v>23470</c:v>
                </c:pt>
                <c:pt idx="1">
                  <c:v>1500</c:v>
                </c:pt>
                <c:pt idx="2">
                  <c:v>16640</c:v>
                </c:pt>
              </c:numCache>
            </c:numRef>
          </c:val>
          <c:extLst>
            <c:ext xmlns:c16="http://schemas.microsoft.com/office/drawing/2014/chart" uri="{C3380CC4-5D6E-409C-BE32-E72D297353CC}">
              <c16:uniqueId val="{00000000-EABD-4ADB-B935-0B1FDA499B90}"/>
            </c:ext>
          </c:extLst>
        </c:ser>
        <c:dLbls>
          <c:showLegendKey val="0"/>
          <c:showVal val="0"/>
          <c:showCatName val="0"/>
          <c:showSerName val="0"/>
          <c:showPercent val="0"/>
          <c:showBubbleSize val="0"/>
        </c:dLbls>
        <c:gapWidth val="182"/>
        <c:axId val="538208928"/>
        <c:axId val="539452144"/>
      </c:barChart>
      <c:catAx>
        <c:axId val="53820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9452144"/>
        <c:crosses val="autoZero"/>
        <c:auto val="1"/>
        <c:lblAlgn val="ctr"/>
        <c:lblOffset val="100"/>
        <c:noMultiLvlLbl val="0"/>
      </c:catAx>
      <c:valAx>
        <c:axId val="53945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820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[Project.xlsx]Trend Analysis!PivotTable3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dk1"/>
                </a:solidFill>
                <a:latin typeface="+mn-lt"/>
                <a:ea typeface="+mn-ea"/>
                <a:cs typeface="+mn-cs"/>
              </a:defRPr>
            </a:pPr>
            <a:r>
              <a:rPr lang="en-IN" b="1">
                <a:solidFill>
                  <a:schemeClr val="dk1"/>
                </a:solidFill>
                <a:latin typeface="+mn-lt"/>
                <a:ea typeface="+mn-ea"/>
                <a:cs typeface="+mn-cs"/>
              </a:rPr>
              <a:t>Daily Spending Trend</a:t>
            </a:r>
            <a:r>
              <a:rPr lang="en-IN">
                <a:solidFill>
                  <a:schemeClr val="dk1"/>
                </a:solidFill>
                <a:latin typeface="+mn-lt"/>
                <a:ea typeface="+mn-ea"/>
                <a:cs typeface="+mn-cs"/>
              </a:rPr>
              <a:t> </a:t>
            </a:r>
            <a:endParaRPr lang="en-IN"/>
          </a:p>
        </c:rich>
      </c:tx>
      <c:layout>
        <c:manualLayout>
          <c:xMode val="edge"/>
          <c:yMode val="edge"/>
          <c:x val="0.41072829338373967"/>
          <c:y val="4.5785925362306024E-2"/>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5.5551936705105401E-2"/>
          <c:y val="0.26625252891665047"/>
          <c:w val="0.86127749639851636"/>
          <c:h val="0.464982245972903"/>
        </c:manualLayout>
      </c:layout>
      <c:lineChart>
        <c:grouping val="standard"/>
        <c:varyColors val="0"/>
        <c:ser>
          <c:idx val="0"/>
          <c:order val="0"/>
          <c:tx>
            <c:strRef>
              <c:f>'Trend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Analysis'!$A$4:$A$34</c:f>
              <c:strCache>
                <c:ptCount val="30"/>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'Trend Analysis'!$B$4:$B$34</c:f>
              <c:numCache>
                <c:formatCode>General</c:formatCode>
                <c:ptCount val="30"/>
                <c:pt idx="0">
                  <c:v>370</c:v>
                </c:pt>
                <c:pt idx="1">
                  <c:v>1800</c:v>
                </c:pt>
                <c:pt idx="2">
                  <c:v>1500</c:v>
                </c:pt>
                <c:pt idx="3">
                  <c:v>350</c:v>
                </c:pt>
                <c:pt idx="4">
                  <c:v>2550</c:v>
                </c:pt>
                <c:pt idx="5">
                  <c:v>1900</c:v>
                </c:pt>
                <c:pt idx="6">
                  <c:v>580</c:v>
                </c:pt>
                <c:pt idx="7">
                  <c:v>1080</c:v>
                </c:pt>
                <c:pt idx="8">
                  <c:v>1450</c:v>
                </c:pt>
                <c:pt idx="9">
                  <c:v>460</c:v>
                </c:pt>
                <c:pt idx="10">
                  <c:v>2060</c:v>
                </c:pt>
                <c:pt idx="11">
                  <c:v>1750</c:v>
                </c:pt>
                <c:pt idx="12">
                  <c:v>460</c:v>
                </c:pt>
                <c:pt idx="13">
                  <c:v>1750</c:v>
                </c:pt>
                <c:pt idx="14">
                  <c:v>1550</c:v>
                </c:pt>
                <c:pt idx="15">
                  <c:v>400</c:v>
                </c:pt>
                <c:pt idx="16">
                  <c:v>2320</c:v>
                </c:pt>
                <c:pt idx="17">
                  <c:v>1550</c:v>
                </c:pt>
                <c:pt idx="18">
                  <c:v>460</c:v>
                </c:pt>
                <c:pt idx="19">
                  <c:v>1910</c:v>
                </c:pt>
                <c:pt idx="20">
                  <c:v>1750</c:v>
                </c:pt>
                <c:pt idx="21">
                  <c:v>480</c:v>
                </c:pt>
                <c:pt idx="22">
                  <c:v>2260</c:v>
                </c:pt>
                <c:pt idx="23">
                  <c:v>1800</c:v>
                </c:pt>
                <c:pt idx="24">
                  <c:v>420</c:v>
                </c:pt>
                <c:pt idx="25">
                  <c:v>2440</c:v>
                </c:pt>
                <c:pt idx="26">
                  <c:v>1700</c:v>
                </c:pt>
                <c:pt idx="27">
                  <c:v>460</c:v>
                </c:pt>
                <c:pt idx="28">
                  <c:v>2050</c:v>
                </c:pt>
                <c:pt idx="29">
                  <c:v>2000</c:v>
                </c:pt>
              </c:numCache>
            </c:numRef>
          </c:val>
          <c:smooth val="0"/>
          <c:extLst>
            <c:ext xmlns:c16="http://schemas.microsoft.com/office/drawing/2014/chart" uri="{C3380CC4-5D6E-409C-BE32-E72D297353CC}">
              <c16:uniqueId val="{00000000-5AC1-44A6-9708-E80BD43C80A9}"/>
            </c:ext>
          </c:extLst>
        </c:ser>
        <c:dLbls>
          <c:showLegendKey val="0"/>
          <c:showVal val="0"/>
          <c:showCatName val="0"/>
          <c:showSerName val="0"/>
          <c:showPercent val="0"/>
          <c:showBubbleSize val="0"/>
        </c:dLbls>
        <c:marker val="1"/>
        <c:smooth val="0"/>
        <c:axId val="595925008"/>
        <c:axId val="535966880"/>
      </c:lineChart>
      <c:catAx>
        <c:axId val="59592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5966880"/>
        <c:crosses val="autoZero"/>
        <c:auto val="1"/>
        <c:lblAlgn val="ctr"/>
        <c:lblOffset val="100"/>
        <c:noMultiLvlLbl val="0"/>
      </c:catAx>
      <c:valAx>
        <c:axId val="53596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9592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[Project.xlsx]Category Analysis!PivotTable1</c:name>
    <c:fmtId val="3"/>
  </c:pivotSource>
  <c:chart>
    <c:title>
      <c:tx>
        <c:rich>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r>
              <a:rPr lang="en-IN" sz="1200" b="1" i="0" u="none" strike="noStrike" cap="all" baseline="0">
                <a:solidFill>
                  <a:schemeClr val="dk1"/>
                </a:solidFill>
                <a:latin typeface="+mn-lt"/>
                <a:ea typeface="+mn-ea"/>
                <a:cs typeface="+mn-cs"/>
              </a:rPr>
              <a:t>Category-wise Spending Distribution</a:t>
            </a:r>
            <a:endParaRPr lang="en-US" sz="1200"/>
          </a:p>
        </c:rich>
      </c:tx>
      <c:layout>
        <c:manualLayout>
          <c:xMode val="edge"/>
          <c:yMode val="edge"/>
          <c:x val="0.22433881971413516"/>
          <c:y val="3.1050243940007018E-2"/>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layout>
            <c:manualLayout>
              <c:x val="-1.4154750619424085E-16"/>
              <c:y val="-4.0990976452090357E-2"/>
            </c:manualLayout>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312105217722235"/>
                  <c:h val="0.23197987799536143"/>
                </c:manualLayout>
              </c15:layout>
            </c:ext>
          </c:extLst>
        </c:dLbl>
      </c:pivotFmt>
      <c:pivotFmt>
        <c:idx val="3"/>
        <c:spPr>
          <a:solidFill>
            <a:schemeClr val="accent5"/>
          </a:solidFill>
          <a:ln>
            <a:noFill/>
          </a:ln>
          <a:effectLst>
            <a:outerShdw blurRad="63500" sx="102000" sy="102000" algn="ctr" rotWithShape="0">
              <a:prstClr val="black">
                <a:alpha val="20000"/>
              </a:prstClr>
            </a:outerShdw>
          </a:effectLst>
        </c:spPr>
        <c:dLbl>
          <c:idx val="0"/>
          <c:layout>
            <c:manualLayout>
              <c:x val="-3.4743880152763681E-2"/>
              <c:y val="2.9279268894350268E-2"/>
            </c:manualLayout>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1.4154750619424085E-16"/>
              <c:y val="-4.0990976452090357E-2"/>
            </c:manualLayout>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312105217722235"/>
                  <c:h val="0.23197987799536143"/>
                </c:manualLayout>
              </c15:layout>
            </c:ext>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layout>
            <c:manualLayout>
              <c:x val="-3.4743880152763681E-2"/>
              <c:y val="2.9279268894350268E-2"/>
            </c:manualLayout>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layout>
            <c:manualLayout>
              <c:x val="-1.4154750619424085E-16"/>
              <c:y val="-4.0990976452090357E-2"/>
            </c:manualLayout>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312105217722235"/>
                  <c:h val="0.23197987799536143"/>
                </c:manualLayout>
              </c15:layout>
            </c:ext>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layout>
            <c:manualLayout>
              <c:x val="-3.4743880152763681E-2"/>
              <c:y val="2.9279268894350268E-2"/>
            </c:manualLayout>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634333884128703"/>
          <c:y val="0.23932597739732658"/>
          <c:w val="0.41191574372612139"/>
          <c:h val="0.60256597057318206"/>
        </c:manualLayout>
      </c:layout>
      <c:pieChart>
        <c:varyColors val="1"/>
        <c:ser>
          <c:idx val="0"/>
          <c:order val="0"/>
          <c:tx>
            <c:strRef>
              <c:f>'Category Analysis'!$B$3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5D0-49FA-8DDA-A8C1F4D760A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5D0-49FA-8DDA-A8C1F4D760A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5D0-49FA-8DDA-A8C1F4D760A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5D0-49FA-8DDA-A8C1F4D760A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5D0-49FA-8DDA-A8C1F4D760AC}"/>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5D0-49FA-8DDA-A8C1F4D760AC}"/>
                </c:ext>
              </c:extLst>
            </c:dLbl>
            <c:dLbl>
              <c:idx val="1"/>
              <c:layout>
                <c:manualLayout>
                  <c:x val="-1.4154750619424085E-16"/>
                  <c:y val="-4.0990976452090357E-2"/>
                </c:manualLayout>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312105217722235"/>
                      <c:h val="0.23197987799536143"/>
                    </c:manualLayout>
                  </c15:layout>
                </c:ext>
                <c:ext xmlns:c16="http://schemas.microsoft.com/office/drawing/2014/chart" uri="{C3380CC4-5D6E-409C-BE32-E72D297353CC}">
                  <c16:uniqueId val="{00000003-65D0-49FA-8DDA-A8C1F4D760AC}"/>
                </c:ext>
              </c:extLst>
            </c:dLbl>
            <c:dLbl>
              <c:idx val="2"/>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65D0-49FA-8DDA-A8C1F4D760AC}"/>
                </c:ext>
              </c:extLst>
            </c:dLbl>
            <c:dLbl>
              <c:idx val="3"/>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65D0-49FA-8DDA-A8C1F4D760AC}"/>
                </c:ext>
              </c:extLst>
            </c:dLbl>
            <c:dLbl>
              <c:idx val="4"/>
              <c:layout>
                <c:manualLayout>
                  <c:x val="-3.4743880152763681E-2"/>
                  <c:y val="2.9279268894350268E-2"/>
                </c:manualLayout>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5D0-49FA-8DDA-A8C1F4D760AC}"/>
                </c:ext>
              </c:extLst>
            </c:dLbl>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Analysis'!$A$4:$A$9</c:f>
              <c:strCache>
                <c:ptCount val="5"/>
                <c:pt idx="0">
                  <c:v>Bills</c:v>
                </c:pt>
                <c:pt idx="1">
                  <c:v>Entertainment</c:v>
                </c:pt>
                <c:pt idx="2">
                  <c:v>Food</c:v>
                </c:pt>
                <c:pt idx="3">
                  <c:v>Shopping</c:v>
                </c:pt>
                <c:pt idx="4">
                  <c:v>Transport</c:v>
                </c:pt>
              </c:strCache>
            </c:strRef>
          </c:cat>
          <c:val>
            <c:numRef>
              <c:f>'Category Analysis'!$B$4:$B$9</c:f>
              <c:numCache>
                <c:formatCode>General</c:formatCode>
                <c:ptCount val="5"/>
                <c:pt idx="0">
                  <c:v>10480</c:v>
                </c:pt>
                <c:pt idx="1">
                  <c:v>6470</c:v>
                </c:pt>
                <c:pt idx="2">
                  <c:v>6160</c:v>
                </c:pt>
                <c:pt idx="3">
                  <c:v>17000</c:v>
                </c:pt>
                <c:pt idx="4">
                  <c:v>1500</c:v>
                </c:pt>
              </c:numCache>
            </c:numRef>
          </c:val>
          <c:extLst>
            <c:ext xmlns:c16="http://schemas.microsoft.com/office/drawing/2014/chart" uri="{C3380CC4-5D6E-409C-BE32-E72D297353CC}">
              <c16:uniqueId val="{0000000A-65D0-49FA-8DDA-A8C1F4D760AC}"/>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1104900</xdr:colOff>
      <xdr:row>3</xdr:row>
      <xdr:rowOff>66675</xdr:rowOff>
    </xdr:from>
    <xdr:ext cx="8562975" cy="609600"/>
    <xdr:sp macro="" textlink="">
      <xdr:nvSpPr>
        <xdr:cNvPr id="2" name="TextBox 1">
          <a:extLst>
            <a:ext uri="{FF2B5EF4-FFF2-40B4-BE49-F238E27FC236}">
              <a16:creationId xmlns:a16="http://schemas.microsoft.com/office/drawing/2014/main" id="{4ADD9D9A-B98C-4DD2-B6B3-826BFB2DBA0C}"/>
            </a:ext>
          </a:extLst>
        </xdr:cNvPr>
        <xdr:cNvSpPr txBox="1"/>
      </xdr:nvSpPr>
      <xdr:spPr>
        <a:xfrm>
          <a:off x="6648450" y="638175"/>
          <a:ext cx="8562975"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t>The dataset reflects a combination of frequent low-value daily expenses (Food, Transport) and </a:t>
          </a:r>
        </a:p>
        <a:p>
          <a:r>
            <a:rPr lang="en-IN" sz="1600" b="1"/>
            <a:t>occasional high-value transactions (Shopping, Bills), forming the base for overall spending behavior.</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219808</xdr:colOff>
      <xdr:row>3</xdr:row>
      <xdr:rowOff>73269</xdr:rowOff>
    </xdr:from>
    <xdr:ext cx="8428205" cy="593239"/>
    <xdr:sp macro="" textlink="">
      <xdr:nvSpPr>
        <xdr:cNvPr id="2" name="TextBox 1">
          <a:extLst>
            <a:ext uri="{FF2B5EF4-FFF2-40B4-BE49-F238E27FC236}">
              <a16:creationId xmlns:a16="http://schemas.microsoft.com/office/drawing/2014/main" id="{D260BF85-0981-4CB2-8234-AC1C1EC0C646}"/>
            </a:ext>
          </a:extLst>
        </xdr:cNvPr>
        <xdr:cNvSpPr txBox="1"/>
      </xdr:nvSpPr>
      <xdr:spPr>
        <a:xfrm>
          <a:off x="2139462" y="644769"/>
          <a:ext cx="8428205"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Spending is heavily concentrated in Shopping and Bills, which together form the majority of total</a:t>
          </a:r>
        </a:p>
        <a:p>
          <a:r>
            <a:rPr lang="en-IN" sz="1600" b="1"/>
            <a:t> expenses, indicating that discretionary and fixed costs dominate over daily necessities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190501</xdr:colOff>
      <xdr:row>2</xdr:row>
      <xdr:rowOff>124558</xdr:rowOff>
    </xdr:from>
    <xdr:ext cx="8646085" cy="593239"/>
    <xdr:sp macro="" textlink="">
      <xdr:nvSpPr>
        <xdr:cNvPr id="2" name="TextBox 1">
          <a:extLst>
            <a:ext uri="{FF2B5EF4-FFF2-40B4-BE49-F238E27FC236}">
              <a16:creationId xmlns:a16="http://schemas.microsoft.com/office/drawing/2014/main" id="{803A505D-20F3-48B5-8488-2218F3ECC748}"/>
            </a:ext>
          </a:extLst>
        </xdr:cNvPr>
        <xdr:cNvSpPr txBox="1"/>
      </xdr:nvSpPr>
      <xdr:spPr>
        <a:xfrm>
          <a:off x="2058866" y="505558"/>
          <a:ext cx="8646085"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Digital payment methods dominate spending, with card transactions contributing the largest share,</a:t>
          </a:r>
        </a:p>
        <a:p>
          <a:r>
            <a:rPr lang="en-IN" sz="1600" b="1"/>
            <a:t> suggesting higher-value purchases are primarily executed through cards.</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419100</xdr:colOff>
      <xdr:row>5</xdr:row>
      <xdr:rowOff>57150</xdr:rowOff>
    </xdr:from>
    <xdr:ext cx="8233151" cy="593239"/>
    <xdr:sp macro="" textlink="">
      <xdr:nvSpPr>
        <xdr:cNvPr id="2" name="TextBox 1">
          <a:extLst>
            <a:ext uri="{FF2B5EF4-FFF2-40B4-BE49-F238E27FC236}">
              <a16:creationId xmlns:a16="http://schemas.microsoft.com/office/drawing/2014/main" id="{53568C95-4E82-405E-826A-5CE35068215A}"/>
            </a:ext>
          </a:extLst>
        </xdr:cNvPr>
        <xdr:cNvSpPr txBox="1"/>
      </xdr:nvSpPr>
      <xdr:spPr>
        <a:xfrm>
          <a:off x="2286000" y="1009650"/>
          <a:ext cx="823315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Spending patterns are irregular with noticeable spikes, indicating that expenditure is driven by</a:t>
          </a:r>
        </a:p>
        <a:p>
          <a:r>
            <a:rPr lang="en-IN" sz="1600" b="1"/>
            <a:t> occasional high-value transactions rather than consistent daily spending.</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98535</xdr:colOff>
      <xdr:row>2</xdr:row>
      <xdr:rowOff>45983</xdr:rowOff>
    </xdr:from>
    <xdr:ext cx="8707127" cy="593239"/>
    <xdr:sp macro="" textlink="">
      <xdr:nvSpPr>
        <xdr:cNvPr id="2" name="TextBox 1">
          <a:extLst>
            <a:ext uri="{FF2B5EF4-FFF2-40B4-BE49-F238E27FC236}">
              <a16:creationId xmlns:a16="http://schemas.microsoft.com/office/drawing/2014/main" id="{9832AF52-B71D-4495-B8D0-1BC09DD81477}"/>
            </a:ext>
          </a:extLst>
        </xdr:cNvPr>
        <xdr:cNvSpPr txBox="1"/>
      </xdr:nvSpPr>
      <xdr:spPr>
        <a:xfrm>
          <a:off x="2529052" y="426983"/>
          <a:ext cx="8707127"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High-value transactions contribute more than half of total spending, despite being fewer in number,</a:t>
          </a:r>
          <a:br>
            <a:rPr lang="en-IN" sz="1600" b="1"/>
          </a:br>
          <a:r>
            <a:rPr lang="en-IN" sz="1600" b="1"/>
            <a:t> highlighting their significant impact on overall expenditure.</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10</xdr:col>
      <xdr:colOff>211311</xdr:colOff>
      <xdr:row>4</xdr:row>
      <xdr:rowOff>97651</xdr:rowOff>
    </xdr:from>
    <xdr:to>
      <xdr:col>17</xdr:col>
      <xdr:colOff>428225</xdr:colOff>
      <xdr:row>17</xdr:row>
      <xdr:rowOff>61632</xdr:rowOff>
    </xdr:to>
    <xdr:graphicFrame macro="">
      <xdr:nvGraphicFramePr>
        <xdr:cNvPr id="2" name="Chart 1">
          <a:extLst>
            <a:ext uri="{FF2B5EF4-FFF2-40B4-BE49-F238E27FC236}">
              <a16:creationId xmlns:a16="http://schemas.microsoft.com/office/drawing/2014/main" id="{C05AC6B2-7B8A-4DE1-9614-E7C319267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272781</xdr:colOff>
      <xdr:row>17</xdr:row>
      <xdr:rowOff>116861</xdr:rowOff>
    </xdr:from>
    <xdr:to>
      <xdr:col>25</xdr:col>
      <xdr:colOff>360989</xdr:colOff>
      <xdr:row>31</xdr:row>
      <xdr:rowOff>162485</xdr:rowOff>
    </xdr:to>
    <xdr:graphicFrame macro="">
      <xdr:nvGraphicFramePr>
        <xdr:cNvPr id="3" name="Chart 2">
          <a:extLst>
            <a:ext uri="{FF2B5EF4-FFF2-40B4-BE49-F238E27FC236}">
              <a16:creationId xmlns:a16="http://schemas.microsoft.com/office/drawing/2014/main" id="{65985343-0134-4293-9FA0-C9432C5A4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205547</xdr:colOff>
      <xdr:row>4</xdr:row>
      <xdr:rowOff>106456</xdr:rowOff>
    </xdr:from>
    <xdr:to>
      <xdr:col>25</xdr:col>
      <xdr:colOff>349783</xdr:colOff>
      <xdr:row>17</xdr:row>
      <xdr:rowOff>84043</xdr:rowOff>
    </xdr:to>
    <xdr:graphicFrame macro="">
      <xdr:nvGraphicFramePr>
        <xdr:cNvPr id="4" name="Chart 3">
          <a:extLst>
            <a:ext uri="{FF2B5EF4-FFF2-40B4-BE49-F238E27FC236}">
              <a16:creationId xmlns:a16="http://schemas.microsoft.com/office/drawing/2014/main" id="{14B18B9A-5B64-42AF-8DA0-F6D9F2934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509869</xdr:colOff>
      <xdr:row>0</xdr:row>
      <xdr:rowOff>50426</xdr:rowOff>
    </xdr:from>
    <xdr:ext cx="9001823" cy="781111"/>
    <xdr:sp macro="" textlink="">
      <xdr:nvSpPr>
        <xdr:cNvPr id="5" name="TextBox 4">
          <a:extLst>
            <a:ext uri="{FF2B5EF4-FFF2-40B4-BE49-F238E27FC236}">
              <a16:creationId xmlns:a16="http://schemas.microsoft.com/office/drawing/2014/main" id="{45A45B0F-8DEB-4973-98CD-3CB44639ADEA}"/>
            </a:ext>
          </a:extLst>
        </xdr:cNvPr>
        <xdr:cNvSpPr txBox="1"/>
      </xdr:nvSpPr>
      <xdr:spPr>
        <a:xfrm>
          <a:off x="6633083" y="50426"/>
          <a:ext cx="9001823"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4400" b="1"/>
            <a:t>Personal Expense Analysis Dashboard</a:t>
          </a:r>
        </a:p>
      </xdr:txBody>
    </xdr:sp>
    <xdr:clientData/>
  </xdr:oneCellAnchor>
  <xdr:twoCellAnchor editAs="oneCell">
    <xdr:from>
      <xdr:col>26</xdr:col>
      <xdr:colOff>4261</xdr:colOff>
      <xdr:row>15</xdr:row>
      <xdr:rowOff>21305</xdr:rowOff>
    </xdr:from>
    <xdr:to>
      <xdr:col>29</xdr:col>
      <xdr:colOff>369400</xdr:colOff>
      <xdr:row>24</xdr:row>
      <xdr:rowOff>116554</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103C379F-639B-4888-A5D9-1E1784A3D05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924618" y="2878805"/>
              <a:ext cx="2202103" cy="1809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30650</xdr:colOff>
      <xdr:row>6</xdr:row>
      <xdr:rowOff>43845</xdr:rowOff>
    </xdr:from>
    <xdr:to>
      <xdr:col>29</xdr:col>
      <xdr:colOff>22485</xdr:colOff>
      <xdr:row>13</xdr:row>
      <xdr:rowOff>98274</xdr:rowOff>
    </xdr:to>
    <mc:AlternateContent xmlns:mc="http://schemas.openxmlformats.org/markup-compatibility/2006">
      <mc:Choice xmlns:a14="http://schemas.microsoft.com/office/drawing/2010/main" Requires="a14">
        <xdr:graphicFrame macro="">
          <xdr:nvGraphicFramePr>
            <xdr:cNvPr id="7" name="Payment Mode 1">
              <a:extLst>
                <a:ext uri="{FF2B5EF4-FFF2-40B4-BE49-F238E27FC236}">
                  <a16:creationId xmlns:a16="http://schemas.microsoft.com/office/drawing/2014/main" id="{DF33242A-E901-4D64-B950-765AF56D9B74}"/>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15951007" y="1186845"/>
              <a:ext cx="1828799" cy="1387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183400</xdr:colOff>
      <xdr:row>4</xdr:row>
      <xdr:rowOff>15973</xdr:rowOff>
    </xdr:from>
    <xdr:ext cx="6099811" cy="1783180"/>
    <xdr:sp macro="" textlink="">
      <xdr:nvSpPr>
        <xdr:cNvPr id="8" name="TextBox 7">
          <a:extLst>
            <a:ext uri="{FF2B5EF4-FFF2-40B4-BE49-F238E27FC236}">
              <a16:creationId xmlns:a16="http://schemas.microsoft.com/office/drawing/2014/main" id="{C6B42466-7B55-4B50-A4FF-4655727CC19D}"/>
            </a:ext>
          </a:extLst>
        </xdr:cNvPr>
        <xdr:cNvSpPr txBox="1"/>
      </xdr:nvSpPr>
      <xdr:spPr>
        <a:xfrm>
          <a:off x="183400" y="777973"/>
          <a:ext cx="6099811" cy="1783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t>Key Insights</a:t>
          </a:r>
        </a:p>
        <a:p>
          <a:endParaRPr lang="en-IN" sz="1800" b="1"/>
        </a:p>
        <a:p>
          <a:r>
            <a:rPr lang="en-IN" sz="1800" b="1"/>
            <a:t>• Shopping and Bills dominate total expenses  </a:t>
          </a:r>
        </a:p>
        <a:p>
          <a:r>
            <a:rPr lang="en-IN" sz="1800" b="1"/>
            <a:t>• Card is the most used payment method  </a:t>
          </a:r>
        </a:p>
        <a:p>
          <a:r>
            <a:rPr lang="en-IN" sz="1800" b="1"/>
            <a:t>• High-value transactions contribute over 50% of total spend  </a:t>
          </a:r>
        </a:p>
        <a:p>
          <a:r>
            <a:rPr lang="en-IN" sz="1800" b="1"/>
            <a:t>• Spending pattern is irregular with noticeable spikes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0.692446759262" createdVersion="6" refreshedVersion="6" minRefreshableVersion="3" recordCount="60" xr:uid="{7B4419C3-827E-45EF-8FFB-0895C169CDDE}">
  <cacheSource type="worksheet">
    <worksheetSource name="tblDailyExpense"/>
  </cacheSource>
  <cacheFields count="7">
    <cacheField name="Date" numFmtId="22">
      <sharedItems containsSemiMixedTypes="0" containsNonDate="0" containsDate="1" containsString="0" minDate="2026-04-01T00:00:00" maxDate="2026-05-01T00:00:00" count="3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sharedItems>
    </cacheField>
    <cacheField name="Category" numFmtId="0">
      <sharedItems count="5">
        <s v="Food"/>
        <s v="Transport"/>
        <s v="Shopping"/>
        <s v="Bills"/>
        <s v="Entertainment"/>
      </sharedItems>
    </cacheField>
    <cacheField name="Amount" numFmtId="0">
      <sharedItems containsSemiMixedTypes="0" containsString="0" containsNumber="1" containsInteger="1" minValue="120" maxValue="2200"/>
    </cacheField>
    <cacheField name="Payment Mode" numFmtId="0">
      <sharedItems count="3">
        <s v="UPI"/>
        <s v="Cash"/>
        <s v="Card"/>
      </sharedItems>
    </cacheField>
    <cacheField name="Month" numFmtId="0">
      <sharedItems/>
    </cacheField>
    <cacheField name="Day" numFmtId="0">
      <sharedItems/>
    </cacheField>
    <cacheField name="Spending Level" numFmtId="0">
      <sharedItems count="2">
        <s v="Low"/>
        <s v="High"/>
      </sharedItems>
    </cacheField>
  </cacheFields>
  <extLst>
    <ext xmlns:x14="http://schemas.microsoft.com/office/spreadsheetml/2009/9/main" uri="{725AE2AE-9491-48be-B2B4-4EB974FC3084}">
      <x14:pivotCacheDefinition pivotCacheId="1193945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250"/>
    <x v="0"/>
    <s v="Apr"/>
    <s v="Wed"/>
    <x v="0"/>
  </r>
  <r>
    <x v="0"/>
    <x v="1"/>
    <n v="120"/>
    <x v="1"/>
    <s v="Apr"/>
    <s v="Wed"/>
    <x v="0"/>
  </r>
  <r>
    <x v="1"/>
    <x v="2"/>
    <n v="1500"/>
    <x v="2"/>
    <s v="Apr"/>
    <s v="Thu"/>
    <x v="1"/>
  </r>
  <r>
    <x v="1"/>
    <x v="0"/>
    <n v="300"/>
    <x v="0"/>
    <s v="Apr"/>
    <s v="Thu"/>
    <x v="0"/>
  </r>
  <r>
    <x v="2"/>
    <x v="3"/>
    <n v="900"/>
    <x v="0"/>
    <s v="Apr"/>
    <s v="Fri"/>
    <x v="0"/>
  </r>
  <r>
    <x v="2"/>
    <x v="4"/>
    <n v="600"/>
    <x v="2"/>
    <s v="Apr"/>
    <s v="Fri"/>
    <x v="0"/>
  </r>
  <r>
    <x v="3"/>
    <x v="0"/>
    <n v="200"/>
    <x v="0"/>
    <s v="Apr"/>
    <s v="Sat"/>
    <x v="0"/>
  </r>
  <r>
    <x v="3"/>
    <x v="1"/>
    <n v="150"/>
    <x v="1"/>
    <s v="Apr"/>
    <s v="Sat"/>
    <x v="0"/>
  </r>
  <r>
    <x v="4"/>
    <x v="2"/>
    <n v="2200"/>
    <x v="2"/>
    <s v="Apr"/>
    <s v="Sun"/>
    <x v="1"/>
  </r>
  <r>
    <x v="4"/>
    <x v="0"/>
    <n v="350"/>
    <x v="0"/>
    <s v="Apr"/>
    <s v="Sun"/>
    <x v="0"/>
  </r>
  <r>
    <x v="5"/>
    <x v="3"/>
    <n v="1200"/>
    <x v="0"/>
    <s v="Apr"/>
    <s v="Mon"/>
    <x v="1"/>
  </r>
  <r>
    <x v="5"/>
    <x v="4"/>
    <n v="700"/>
    <x v="2"/>
    <s v="Apr"/>
    <s v="Mon"/>
    <x v="0"/>
  </r>
  <r>
    <x v="6"/>
    <x v="0"/>
    <n v="400"/>
    <x v="0"/>
    <s v="Apr"/>
    <s v="Tue"/>
    <x v="0"/>
  </r>
  <r>
    <x v="6"/>
    <x v="1"/>
    <n v="180"/>
    <x v="1"/>
    <s v="Apr"/>
    <s v="Tue"/>
    <x v="0"/>
  </r>
  <r>
    <x v="7"/>
    <x v="2"/>
    <n v="800"/>
    <x v="2"/>
    <s v="Apr"/>
    <s v="Wed"/>
    <x v="0"/>
  </r>
  <r>
    <x v="7"/>
    <x v="0"/>
    <n v="280"/>
    <x v="0"/>
    <s v="Apr"/>
    <s v="Wed"/>
    <x v="0"/>
  </r>
  <r>
    <x v="8"/>
    <x v="3"/>
    <n v="950"/>
    <x v="0"/>
    <s v="Apr"/>
    <s v="Thu"/>
    <x v="0"/>
  </r>
  <r>
    <x v="8"/>
    <x v="4"/>
    <n v="500"/>
    <x v="2"/>
    <s v="Apr"/>
    <s v="Thu"/>
    <x v="0"/>
  </r>
  <r>
    <x v="9"/>
    <x v="0"/>
    <n v="320"/>
    <x v="0"/>
    <s v="Apr"/>
    <s v="Fri"/>
    <x v="0"/>
  </r>
  <r>
    <x v="9"/>
    <x v="1"/>
    <n v="140"/>
    <x v="1"/>
    <s v="Apr"/>
    <s v="Fri"/>
    <x v="0"/>
  </r>
  <r>
    <x v="10"/>
    <x v="2"/>
    <n v="1800"/>
    <x v="2"/>
    <s v="Apr"/>
    <s v="Sat"/>
    <x v="1"/>
  </r>
  <r>
    <x v="10"/>
    <x v="0"/>
    <n v="260"/>
    <x v="0"/>
    <s v="Apr"/>
    <s v="Sat"/>
    <x v="0"/>
  </r>
  <r>
    <x v="11"/>
    <x v="3"/>
    <n v="1100"/>
    <x v="0"/>
    <s v="Apr"/>
    <s v="Sun"/>
    <x v="1"/>
  </r>
  <r>
    <x v="11"/>
    <x v="4"/>
    <n v="650"/>
    <x v="2"/>
    <s v="Apr"/>
    <s v="Sun"/>
    <x v="0"/>
  </r>
  <r>
    <x v="12"/>
    <x v="0"/>
    <n v="300"/>
    <x v="0"/>
    <s v="Apr"/>
    <s v="Mon"/>
    <x v="0"/>
  </r>
  <r>
    <x v="12"/>
    <x v="1"/>
    <n v="160"/>
    <x v="1"/>
    <s v="Apr"/>
    <s v="Mon"/>
    <x v="0"/>
  </r>
  <r>
    <x v="13"/>
    <x v="2"/>
    <n v="1400"/>
    <x v="2"/>
    <s v="Apr"/>
    <s v="Tue"/>
    <x v="1"/>
  </r>
  <r>
    <x v="13"/>
    <x v="0"/>
    <n v="350"/>
    <x v="0"/>
    <s v="Apr"/>
    <s v="Tue"/>
    <x v="0"/>
  </r>
  <r>
    <x v="14"/>
    <x v="3"/>
    <n v="1000"/>
    <x v="0"/>
    <s v="Apr"/>
    <s v="Wed"/>
    <x v="0"/>
  </r>
  <r>
    <x v="14"/>
    <x v="4"/>
    <n v="550"/>
    <x v="2"/>
    <s v="Apr"/>
    <s v="Wed"/>
    <x v="0"/>
  </r>
  <r>
    <x v="15"/>
    <x v="0"/>
    <n v="270"/>
    <x v="0"/>
    <s v="Apr"/>
    <s v="Thu"/>
    <x v="0"/>
  </r>
  <r>
    <x v="15"/>
    <x v="1"/>
    <n v="130"/>
    <x v="1"/>
    <s v="Apr"/>
    <s v="Thu"/>
    <x v="0"/>
  </r>
  <r>
    <x v="16"/>
    <x v="2"/>
    <n v="2000"/>
    <x v="2"/>
    <s v="Apr"/>
    <s v="Fri"/>
    <x v="1"/>
  </r>
  <r>
    <x v="16"/>
    <x v="0"/>
    <n v="320"/>
    <x v="0"/>
    <s v="Apr"/>
    <s v="Fri"/>
    <x v="0"/>
  </r>
  <r>
    <x v="17"/>
    <x v="3"/>
    <n v="950"/>
    <x v="0"/>
    <s v="Apr"/>
    <s v="Sat"/>
    <x v="0"/>
  </r>
  <r>
    <x v="17"/>
    <x v="4"/>
    <n v="600"/>
    <x v="2"/>
    <s v="Apr"/>
    <s v="Sat"/>
    <x v="0"/>
  </r>
  <r>
    <x v="18"/>
    <x v="0"/>
    <n v="290"/>
    <x v="0"/>
    <s v="Apr"/>
    <s v="Sun"/>
    <x v="0"/>
  </r>
  <r>
    <x v="18"/>
    <x v="1"/>
    <n v="170"/>
    <x v="1"/>
    <s v="Apr"/>
    <s v="Sun"/>
    <x v="0"/>
  </r>
  <r>
    <x v="19"/>
    <x v="2"/>
    <n v="1600"/>
    <x v="2"/>
    <s v="Apr"/>
    <s v="Mon"/>
    <x v="1"/>
  </r>
  <r>
    <x v="19"/>
    <x v="0"/>
    <n v="310"/>
    <x v="0"/>
    <s v="Apr"/>
    <s v="Mon"/>
    <x v="0"/>
  </r>
  <r>
    <x v="20"/>
    <x v="3"/>
    <n v="1050"/>
    <x v="0"/>
    <s v="Apr"/>
    <s v="Tue"/>
    <x v="1"/>
  </r>
  <r>
    <x v="20"/>
    <x v="4"/>
    <n v="700"/>
    <x v="2"/>
    <s v="Apr"/>
    <s v="Tue"/>
    <x v="0"/>
  </r>
  <r>
    <x v="21"/>
    <x v="0"/>
    <n v="330"/>
    <x v="0"/>
    <s v="Apr"/>
    <s v="Wed"/>
    <x v="0"/>
  </r>
  <r>
    <x v="21"/>
    <x v="1"/>
    <n v="150"/>
    <x v="1"/>
    <s v="Apr"/>
    <s v="Wed"/>
    <x v="0"/>
  </r>
  <r>
    <x v="22"/>
    <x v="2"/>
    <n v="1900"/>
    <x v="2"/>
    <s v="Apr"/>
    <s v="Thu"/>
    <x v="1"/>
  </r>
  <r>
    <x v="22"/>
    <x v="0"/>
    <n v="360"/>
    <x v="0"/>
    <s v="Apr"/>
    <s v="Thu"/>
    <x v="0"/>
  </r>
  <r>
    <x v="23"/>
    <x v="3"/>
    <n v="1150"/>
    <x v="0"/>
    <s v="Apr"/>
    <s v="Fri"/>
    <x v="1"/>
  </r>
  <r>
    <x v="23"/>
    <x v="4"/>
    <n v="650"/>
    <x v="2"/>
    <s v="Apr"/>
    <s v="Fri"/>
    <x v="0"/>
  </r>
  <r>
    <x v="24"/>
    <x v="0"/>
    <n v="280"/>
    <x v="0"/>
    <s v="Apr"/>
    <s v="Sat"/>
    <x v="0"/>
  </r>
  <r>
    <x v="24"/>
    <x v="1"/>
    <n v="140"/>
    <x v="1"/>
    <s v="Apr"/>
    <s v="Sat"/>
    <x v="0"/>
  </r>
  <r>
    <x v="25"/>
    <x v="2"/>
    <n v="2100"/>
    <x v="2"/>
    <s v="Apr"/>
    <s v="Sun"/>
    <x v="1"/>
  </r>
  <r>
    <x v="25"/>
    <x v="0"/>
    <n v="340"/>
    <x v="0"/>
    <s v="Apr"/>
    <s v="Sun"/>
    <x v="0"/>
  </r>
  <r>
    <x v="26"/>
    <x v="3"/>
    <n v="980"/>
    <x v="0"/>
    <s v="Apr"/>
    <s v="Mon"/>
    <x v="0"/>
  </r>
  <r>
    <x v="26"/>
    <x v="4"/>
    <n v="720"/>
    <x v="2"/>
    <s v="Apr"/>
    <s v="Mon"/>
    <x v="0"/>
  </r>
  <r>
    <x v="27"/>
    <x v="0"/>
    <n v="300"/>
    <x v="0"/>
    <s v="Apr"/>
    <s v="Tue"/>
    <x v="0"/>
  </r>
  <r>
    <x v="27"/>
    <x v="1"/>
    <n v="160"/>
    <x v="1"/>
    <s v="Apr"/>
    <s v="Tue"/>
    <x v="0"/>
  </r>
  <r>
    <x v="28"/>
    <x v="2"/>
    <n v="1700"/>
    <x v="2"/>
    <s v="Apr"/>
    <s v="Wed"/>
    <x v="1"/>
  </r>
  <r>
    <x v="28"/>
    <x v="0"/>
    <n v="350"/>
    <x v="0"/>
    <s v="Apr"/>
    <s v="Wed"/>
    <x v="0"/>
  </r>
  <r>
    <x v="29"/>
    <x v="3"/>
    <n v="1200"/>
    <x v="0"/>
    <s v="Apr"/>
    <s v="Thu"/>
    <x v="1"/>
  </r>
  <r>
    <x v="29"/>
    <x v="4"/>
    <n v="800"/>
    <x v="2"/>
    <s v="Apr"/>
    <s v="Thu"/>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40EC35-1DE1-49C2-A787-C0BD1791EA6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7">
    <pivotField numFmtId="22" showAll="0"/>
    <pivotField axis="axisRow" showAll="0">
      <items count="6">
        <item x="3"/>
        <item x="4"/>
        <item x="0"/>
        <item x="2"/>
        <item x="1"/>
        <item t="default"/>
      </items>
    </pivotField>
    <pivotField dataField="1" showAll="0"/>
    <pivotField showAll="0">
      <items count="4">
        <item x="2"/>
        <item x="1"/>
        <item x="0"/>
        <item t="default"/>
      </items>
    </pivotField>
    <pivotField showAll="0"/>
    <pivotField showAll="0"/>
    <pivotField showAll="0"/>
  </pivotFields>
  <rowFields count="1">
    <field x="1"/>
  </rowFields>
  <rowItems count="6">
    <i>
      <x/>
    </i>
    <i>
      <x v="1"/>
    </i>
    <i>
      <x v="2"/>
    </i>
    <i>
      <x v="3"/>
    </i>
    <i>
      <x v="4"/>
    </i>
    <i t="grand">
      <x/>
    </i>
  </rowItems>
  <colItems count="1">
    <i/>
  </colItems>
  <dataFields count="1">
    <dataField name="Sum of Amount" fld="2" baseField="0" baseItem="0"/>
  </dataField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pivotArea type="data" outline="0" fieldPosition="0">
        <references count="2">
          <reference field="4294967294" count="1" selected="0">
            <x v="0"/>
          </reference>
          <reference field="1" count="1" selected="0">
            <x v="4"/>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A57B5B-4669-47E8-90B0-03AA857A237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7">
    <pivotField numFmtId="22" showAll="0"/>
    <pivotField showAll="0">
      <items count="6">
        <item x="3"/>
        <item x="4"/>
        <item x="0"/>
        <item x="2"/>
        <item x="1"/>
        <item t="default"/>
      </items>
    </pivotField>
    <pivotField dataField="1" showAll="0"/>
    <pivotField axis="axisRow" showAll="0">
      <items count="4">
        <item x="2"/>
        <item x="1"/>
        <item x="0"/>
        <item t="default"/>
      </items>
    </pivotField>
    <pivotField showAll="0"/>
    <pivotField showAll="0"/>
    <pivotField showAll="0"/>
  </pivotFields>
  <rowFields count="1">
    <field x="3"/>
  </rowFields>
  <rowItems count="4">
    <i>
      <x/>
    </i>
    <i>
      <x v="1"/>
    </i>
    <i>
      <x v="2"/>
    </i>
    <i t="grand">
      <x/>
    </i>
  </rowItems>
  <colItems count="1">
    <i/>
  </colItems>
  <dataFields count="1">
    <dataField name="Sum of Amount"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611485-BA65-423D-9397-D9D0863C090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34" firstHeaderRow="1" firstDataRow="1" firstDataCol="1"/>
  <pivotFields count="7">
    <pivotField axis="axisRow" numFmtId="16"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3"/>
        <item x="4"/>
        <item x="0"/>
        <item x="2"/>
        <item x="1"/>
        <item t="default"/>
      </items>
    </pivotField>
    <pivotField dataField="1" showAll="0"/>
    <pivotField showAll="0">
      <items count="4">
        <item x="2"/>
        <item x="1"/>
        <item x="0"/>
        <item t="default"/>
      </items>
    </pivotField>
    <pivotField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Amount"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A240F3-8EBC-4F4F-9F1C-C9EC8B7D1744}"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6" firstHeaderRow="0" firstDataRow="1" firstDataCol="1"/>
  <pivotFields count="7">
    <pivotField numFmtId="22" showAll="0"/>
    <pivotField showAll="0">
      <items count="6">
        <item x="3"/>
        <item x="4"/>
        <item x="0"/>
        <item x="2"/>
        <item x="1"/>
        <item t="default"/>
      </items>
    </pivotField>
    <pivotField dataField="1" showAll="0"/>
    <pivotField showAll="0">
      <items count="4">
        <item x="2"/>
        <item x="1"/>
        <item x="0"/>
        <item t="default"/>
      </items>
    </pivotField>
    <pivotField showAll="0"/>
    <pivotField showAll="0"/>
    <pivotField axis="axisRow" showAll="0">
      <items count="3">
        <item x="1"/>
        <item x="0"/>
        <item t="default"/>
      </items>
    </pivotField>
  </pivotFields>
  <rowFields count="1">
    <field x="6"/>
  </rowFields>
  <rowItems count="3">
    <i>
      <x/>
    </i>
    <i>
      <x v="1"/>
    </i>
    <i t="grand">
      <x/>
    </i>
  </rowItems>
  <colFields count="1">
    <field x="-2"/>
  </colFields>
  <colItems count="2">
    <i>
      <x/>
    </i>
    <i i="1">
      <x v="1"/>
    </i>
  </colItems>
  <dataFields count="2">
    <dataField name="Sum of Amount" fld="2" baseField="0" baseItem="0"/>
    <dataField name="Percent" fld="2" showDataAs="percentOfTotal" baseField="6" baseItem="1048828" numFmtId="10"/>
  </dataField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AB8F73-656A-4BD3-BB0A-9A65A88FCC11}" autoFormatId="16" applyNumberFormats="0" applyBorderFormats="0" applyFontFormats="0" applyPatternFormats="0" applyAlignmentFormats="0" applyWidthHeightFormats="0">
  <queryTableRefresh nextId="8" unboundColumnsRight="3">
    <queryTableFields count="7">
      <queryTableField id="1" name="Date" tableColumnId="1"/>
      <queryTableField id="2" name="Category" tableColumnId="2"/>
      <queryTableField id="3" name="Amount" tableColumnId="3"/>
      <queryTableField id="4" name="Payment Mode" tableColumnId="4"/>
      <queryTableField id="5" dataBound="0" tableColumnId="5"/>
      <queryTableField id="6" dataBound="0"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E9D8DF4-3A72-4015-BE07-53492C5910EA}" sourceName="Category">
  <pivotTables>
    <pivotTable tabId="4" name="PivotTable2"/>
    <pivotTable tabId="3" name="PivotTable1"/>
    <pivotTable tabId="7" name="PivotTable5"/>
    <pivotTable tabId="5" name="PivotTable3"/>
  </pivotTables>
  <data>
    <tabular pivotCacheId="1193945942">
      <items count="5">
        <i x="3" s="1"/>
        <i x="4"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01EACBF-EDD5-4E85-9A1C-73706FC632E0}" sourceName="Payment Mode">
  <pivotTables>
    <pivotTable tabId="4" name="PivotTable2"/>
    <pivotTable tabId="3" name="PivotTable1"/>
    <pivotTable tabId="7" name="PivotTable5"/>
    <pivotTable tabId="5" name="PivotTable3"/>
  </pivotTables>
  <data>
    <tabular pivotCacheId="119394594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1FA4D25-032A-43E9-85D5-B66A4D364982}" cache="Slicer_Category" caption="Category" style="SlicerStyleDark6" rowHeight="241300"/>
  <slicer name="Payment Mode 1" xr10:uid="{3C471E3F-C4F8-4A2B-9838-1E8092D6B820}" cache="Slicer_Payment_Mode" caption="Payment Mode"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0FE24D-DB32-4B88-981E-8AA27CAF51BD}" name="tblDailyExpense" displayName="tblDailyExpense" ref="A1:G61" tableType="queryTable" totalsRowShown="0" tableBorderDxfId="4">
  <autoFilter ref="A1:G61" xr:uid="{2649892A-C8BC-47FA-95C0-AADCB3ECC8AE}"/>
  <tableColumns count="7">
    <tableColumn id="1" xr3:uid="{0DF5968E-BD78-4C9B-8B75-2667834F5623}" uniqueName="1" name="Date" queryTableFieldId="1" dataDxfId="3"/>
    <tableColumn id="2" xr3:uid="{C8347C55-80AF-44E4-9D5A-7D150E6AA13A}" uniqueName="2" name="Category" queryTableFieldId="2"/>
    <tableColumn id="3" xr3:uid="{1731CBA6-8513-438C-8BB9-1A324DAA31B1}" uniqueName="3" name="Amount" queryTableFieldId="3"/>
    <tableColumn id="4" xr3:uid="{170B7962-2D41-4E54-BA60-497DB9600311}" uniqueName="4" name="Payment Mode" queryTableFieldId="4"/>
    <tableColumn id="5" xr3:uid="{034B0552-D4AF-4DB8-A86D-C9DBB4D035DD}" uniqueName="5" name="Month" queryTableFieldId="5" dataDxfId="2">
      <calculatedColumnFormula>TEXT(tblDailyExpense[[#This Row],[Date]],"mmm")</calculatedColumnFormula>
    </tableColumn>
    <tableColumn id="6" xr3:uid="{F15C15BC-1DFF-44D0-AAFB-5FAEA4104C10}" uniqueName="6" name="Day" queryTableFieldId="6" dataDxfId="1">
      <calculatedColumnFormula>TEXT(tblDailyExpense[[#This Row],[Date]],"ddd")</calculatedColumnFormula>
    </tableColumn>
    <tableColumn id="7" xr3:uid="{A2F562D2-5CE7-46BB-82EE-B30CA4D4B9D4}" uniqueName="7" name="Spending Level" queryTableFieldId="7" dataDxfId="0">
      <calculatedColumnFormula>IF(tblDailyExpense[[#This Row],[Amount]]&gt;1000,"High","Low")</calculatedColumnFormula>
    </tableColumn>
  </tableColumns>
  <tableStyleInfo name="TableStyleDark1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17FA-CD07-49BC-A227-9A164A44BEE6}">
  <dimension ref="A1:G61"/>
  <sheetViews>
    <sheetView zoomScale="85" zoomScaleNormal="85" workbookViewId="0">
      <selection activeCell="N9" sqref="N9"/>
    </sheetView>
  </sheetViews>
  <sheetFormatPr defaultRowHeight="15" x14ac:dyDescent="0.25"/>
  <cols>
    <col min="1" max="1" width="15.5703125" bestFit="1" customWidth="1"/>
    <col min="2" max="2" width="14" bestFit="1" customWidth="1"/>
    <col min="3" max="3" width="10.42578125" bestFit="1" customWidth="1"/>
    <col min="4" max="4" width="17" bestFit="1" customWidth="1"/>
    <col min="5" max="5" width="17" customWidth="1"/>
    <col min="7" max="7" width="16.85546875" bestFit="1" customWidth="1"/>
  </cols>
  <sheetData>
    <row r="1" spans="1:7" x14ac:dyDescent="0.25">
      <c r="A1" s="6" t="s">
        <v>0</v>
      </c>
      <c r="B1" s="6" t="s">
        <v>1</v>
      </c>
      <c r="C1" s="6" t="s">
        <v>2</v>
      </c>
      <c r="D1" s="6" t="s">
        <v>3</v>
      </c>
      <c r="E1" s="6" t="s">
        <v>15</v>
      </c>
      <c r="F1" s="6" t="s">
        <v>16</v>
      </c>
      <c r="G1" s="6" t="s">
        <v>17</v>
      </c>
    </row>
    <row r="2" spans="1:7" x14ac:dyDescent="0.25">
      <c r="A2" s="7">
        <v>46113</v>
      </c>
      <c r="B2" s="6" t="s">
        <v>4</v>
      </c>
      <c r="C2" s="6">
        <v>250</v>
      </c>
      <c r="D2" s="6" t="s">
        <v>5</v>
      </c>
      <c r="E2" s="6" t="str">
        <f>TEXT(tblDailyExpense[[#This Row],[Date]],"mmm")</f>
        <v>Apr</v>
      </c>
      <c r="F2" s="6" t="str">
        <f>TEXT(tblDailyExpense[[#This Row],[Date]],"ddd")</f>
        <v>Wed</v>
      </c>
      <c r="G2" s="6" t="str">
        <f>IF(tblDailyExpense[[#This Row],[Amount]]&gt;1000,"High","Low")</f>
        <v>Low</v>
      </c>
    </row>
    <row r="3" spans="1:7" x14ac:dyDescent="0.25">
      <c r="A3" s="7">
        <v>46113</v>
      </c>
      <c r="B3" s="6" t="s">
        <v>6</v>
      </c>
      <c r="C3" s="6">
        <v>120</v>
      </c>
      <c r="D3" s="6" t="s">
        <v>7</v>
      </c>
      <c r="E3" s="6" t="str">
        <f>TEXT(tblDailyExpense[[#This Row],[Date]],"mmm")</f>
        <v>Apr</v>
      </c>
      <c r="F3" s="6" t="str">
        <f>TEXT(tblDailyExpense[[#This Row],[Date]],"ddd")</f>
        <v>Wed</v>
      </c>
      <c r="G3" s="6" t="str">
        <f>IF(tblDailyExpense[[#This Row],[Amount]]&gt;1000,"High","Low")</f>
        <v>Low</v>
      </c>
    </row>
    <row r="4" spans="1:7" x14ac:dyDescent="0.25">
      <c r="A4" s="7">
        <v>46114</v>
      </c>
      <c r="B4" s="6" t="s">
        <v>8</v>
      </c>
      <c r="C4" s="6">
        <v>1500</v>
      </c>
      <c r="D4" s="6" t="s">
        <v>9</v>
      </c>
      <c r="E4" s="6" t="str">
        <f>TEXT(tblDailyExpense[[#This Row],[Date]],"mmm")</f>
        <v>Apr</v>
      </c>
      <c r="F4" s="6" t="str">
        <f>TEXT(tblDailyExpense[[#This Row],[Date]],"ddd")</f>
        <v>Thu</v>
      </c>
      <c r="G4" s="6" t="str">
        <f>IF(tblDailyExpense[[#This Row],[Amount]]&gt;1000,"High","Low")</f>
        <v>High</v>
      </c>
    </row>
    <row r="5" spans="1:7" x14ac:dyDescent="0.25">
      <c r="A5" s="7">
        <v>46114</v>
      </c>
      <c r="B5" s="6" t="s">
        <v>4</v>
      </c>
      <c r="C5" s="6">
        <v>300</v>
      </c>
      <c r="D5" s="6" t="s">
        <v>5</v>
      </c>
      <c r="E5" s="6" t="str">
        <f>TEXT(tblDailyExpense[[#This Row],[Date]],"mmm")</f>
        <v>Apr</v>
      </c>
      <c r="F5" s="6" t="str">
        <f>TEXT(tblDailyExpense[[#This Row],[Date]],"ddd")</f>
        <v>Thu</v>
      </c>
      <c r="G5" s="6" t="str">
        <f>IF(tblDailyExpense[[#This Row],[Amount]]&gt;1000,"High","Low")</f>
        <v>Low</v>
      </c>
    </row>
    <row r="6" spans="1:7" x14ac:dyDescent="0.25">
      <c r="A6" s="7">
        <v>46115</v>
      </c>
      <c r="B6" s="6" t="s">
        <v>10</v>
      </c>
      <c r="C6" s="6">
        <v>900</v>
      </c>
      <c r="D6" s="6" t="s">
        <v>5</v>
      </c>
      <c r="E6" s="6" t="str">
        <f>TEXT(tblDailyExpense[[#This Row],[Date]],"mmm")</f>
        <v>Apr</v>
      </c>
      <c r="F6" s="6" t="str">
        <f>TEXT(tblDailyExpense[[#This Row],[Date]],"ddd")</f>
        <v>Fri</v>
      </c>
      <c r="G6" s="6" t="str">
        <f>IF(tblDailyExpense[[#This Row],[Amount]]&gt;1000,"High","Low")</f>
        <v>Low</v>
      </c>
    </row>
    <row r="7" spans="1:7" x14ac:dyDescent="0.25">
      <c r="A7" s="7">
        <v>46115</v>
      </c>
      <c r="B7" s="6" t="s">
        <v>11</v>
      </c>
      <c r="C7" s="6">
        <v>600</v>
      </c>
      <c r="D7" s="6" t="s">
        <v>9</v>
      </c>
      <c r="E7" s="6" t="str">
        <f>TEXT(tblDailyExpense[[#This Row],[Date]],"mmm")</f>
        <v>Apr</v>
      </c>
      <c r="F7" s="6" t="str">
        <f>TEXT(tblDailyExpense[[#This Row],[Date]],"ddd")</f>
        <v>Fri</v>
      </c>
      <c r="G7" s="6" t="str">
        <f>IF(tblDailyExpense[[#This Row],[Amount]]&gt;1000,"High","Low")</f>
        <v>Low</v>
      </c>
    </row>
    <row r="8" spans="1:7" x14ac:dyDescent="0.25">
      <c r="A8" s="7">
        <v>46116</v>
      </c>
      <c r="B8" s="6" t="s">
        <v>4</v>
      </c>
      <c r="C8" s="6">
        <v>200</v>
      </c>
      <c r="D8" s="6" t="s">
        <v>5</v>
      </c>
      <c r="E8" s="6" t="str">
        <f>TEXT(tblDailyExpense[[#This Row],[Date]],"mmm")</f>
        <v>Apr</v>
      </c>
      <c r="F8" s="6" t="str">
        <f>TEXT(tblDailyExpense[[#This Row],[Date]],"ddd")</f>
        <v>Sat</v>
      </c>
      <c r="G8" s="6" t="str">
        <f>IF(tblDailyExpense[[#This Row],[Amount]]&gt;1000,"High","Low")</f>
        <v>Low</v>
      </c>
    </row>
    <row r="9" spans="1:7" x14ac:dyDescent="0.25">
      <c r="A9" s="7">
        <v>46116</v>
      </c>
      <c r="B9" s="6" t="s">
        <v>6</v>
      </c>
      <c r="C9" s="6">
        <v>150</v>
      </c>
      <c r="D9" s="6" t="s">
        <v>7</v>
      </c>
      <c r="E9" s="6" t="str">
        <f>TEXT(tblDailyExpense[[#This Row],[Date]],"mmm")</f>
        <v>Apr</v>
      </c>
      <c r="F9" s="6" t="str">
        <f>TEXT(tblDailyExpense[[#This Row],[Date]],"ddd")</f>
        <v>Sat</v>
      </c>
      <c r="G9" s="6" t="str">
        <f>IF(tblDailyExpense[[#This Row],[Amount]]&gt;1000,"High","Low")</f>
        <v>Low</v>
      </c>
    </row>
    <row r="10" spans="1:7" x14ac:dyDescent="0.25">
      <c r="A10" s="7">
        <v>46117</v>
      </c>
      <c r="B10" s="6" t="s">
        <v>8</v>
      </c>
      <c r="C10" s="6">
        <v>2200</v>
      </c>
      <c r="D10" s="6" t="s">
        <v>9</v>
      </c>
      <c r="E10" s="6" t="str">
        <f>TEXT(tblDailyExpense[[#This Row],[Date]],"mmm")</f>
        <v>Apr</v>
      </c>
      <c r="F10" s="6" t="str">
        <f>TEXT(tblDailyExpense[[#This Row],[Date]],"ddd")</f>
        <v>Sun</v>
      </c>
      <c r="G10" s="6" t="str">
        <f>IF(tblDailyExpense[[#This Row],[Amount]]&gt;1000,"High","Low")</f>
        <v>High</v>
      </c>
    </row>
    <row r="11" spans="1:7" x14ac:dyDescent="0.25">
      <c r="A11" s="7">
        <v>46117</v>
      </c>
      <c r="B11" s="6" t="s">
        <v>4</v>
      </c>
      <c r="C11" s="6">
        <v>350</v>
      </c>
      <c r="D11" s="6" t="s">
        <v>5</v>
      </c>
      <c r="E11" s="6" t="str">
        <f>TEXT(tblDailyExpense[[#This Row],[Date]],"mmm")</f>
        <v>Apr</v>
      </c>
      <c r="F11" s="6" t="str">
        <f>TEXT(tblDailyExpense[[#This Row],[Date]],"ddd")</f>
        <v>Sun</v>
      </c>
      <c r="G11" s="6" t="str">
        <f>IF(tblDailyExpense[[#This Row],[Amount]]&gt;1000,"High","Low")</f>
        <v>Low</v>
      </c>
    </row>
    <row r="12" spans="1:7" x14ac:dyDescent="0.25">
      <c r="A12" s="7">
        <v>46118</v>
      </c>
      <c r="B12" s="6" t="s">
        <v>10</v>
      </c>
      <c r="C12" s="6">
        <v>1200</v>
      </c>
      <c r="D12" s="6" t="s">
        <v>5</v>
      </c>
      <c r="E12" s="6" t="str">
        <f>TEXT(tblDailyExpense[[#This Row],[Date]],"mmm")</f>
        <v>Apr</v>
      </c>
      <c r="F12" s="6" t="str">
        <f>TEXT(tblDailyExpense[[#This Row],[Date]],"ddd")</f>
        <v>Mon</v>
      </c>
      <c r="G12" s="6" t="str">
        <f>IF(tblDailyExpense[[#This Row],[Amount]]&gt;1000,"High","Low")</f>
        <v>High</v>
      </c>
    </row>
    <row r="13" spans="1:7" x14ac:dyDescent="0.25">
      <c r="A13" s="7">
        <v>46118</v>
      </c>
      <c r="B13" s="6" t="s">
        <v>11</v>
      </c>
      <c r="C13" s="6">
        <v>700</v>
      </c>
      <c r="D13" s="6" t="s">
        <v>9</v>
      </c>
      <c r="E13" s="6" t="str">
        <f>TEXT(tblDailyExpense[[#This Row],[Date]],"mmm")</f>
        <v>Apr</v>
      </c>
      <c r="F13" s="6" t="str">
        <f>TEXT(tblDailyExpense[[#This Row],[Date]],"ddd")</f>
        <v>Mon</v>
      </c>
      <c r="G13" s="6" t="str">
        <f>IF(tblDailyExpense[[#This Row],[Amount]]&gt;1000,"High","Low")</f>
        <v>Low</v>
      </c>
    </row>
    <row r="14" spans="1:7" x14ac:dyDescent="0.25">
      <c r="A14" s="7">
        <v>46119</v>
      </c>
      <c r="B14" s="6" t="s">
        <v>4</v>
      </c>
      <c r="C14" s="6">
        <v>400</v>
      </c>
      <c r="D14" s="6" t="s">
        <v>5</v>
      </c>
      <c r="E14" s="6" t="str">
        <f>TEXT(tblDailyExpense[[#This Row],[Date]],"mmm")</f>
        <v>Apr</v>
      </c>
      <c r="F14" s="6" t="str">
        <f>TEXT(tblDailyExpense[[#This Row],[Date]],"ddd")</f>
        <v>Tue</v>
      </c>
      <c r="G14" s="6" t="str">
        <f>IF(tblDailyExpense[[#This Row],[Amount]]&gt;1000,"High","Low")</f>
        <v>Low</v>
      </c>
    </row>
    <row r="15" spans="1:7" x14ac:dyDescent="0.25">
      <c r="A15" s="7">
        <v>46119</v>
      </c>
      <c r="B15" s="6" t="s">
        <v>6</v>
      </c>
      <c r="C15" s="6">
        <v>180</v>
      </c>
      <c r="D15" s="6" t="s">
        <v>7</v>
      </c>
      <c r="E15" s="6" t="str">
        <f>TEXT(tblDailyExpense[[#This Row],[Date]],"mmm")</f>
        <v>Apr</v>
      </c>
      <c r="F15" s="6" t="str">
        <f>TEXT(tblDailyExpense[[#This Row],[Date]],"ddd")</f>
        <v>Tue</v>
      </c>
      <c r="G15" s="6" t="str">
        <f>IF(tblDailyExpense[[#This Row],[Amount]]&gt;1000,"High","Low")</f>
        <v>Low</v>
      </c>
    </row>
    <row r="16" spans="1:7" x14ac:dyDescent="0.25">
      <c r="A16" s="7">
        <v>46120</v>
      </c>
      <c r="B16" s="6" t="s">
        <v>8</v>
      </c>
      <c r="C16" s="6">
        <v>800</v>
      </c>
      <c r="D16" s="6" t="s">
        <v>9</v>
      </c>
      <c r="E16" s="6" t="str">
        <f>TEXT(tblDailyExpense[[#This Row],[Date]],"mmm")</f>
        <v>Apr</v>
      </c>
      <c r="F16" s="6" t="str">
        <f>TEXT(tblDailyExpense[[#This Row],[Date]],"ddd")</f>
        <v>Wed</v>
      </c>
      <c r="G16" s="6" t="str">
        <f>IF(tblDailyExpense[[#This Row],[Amount]]&gt;1000,"High","Low")</f>
        <v>Low</v>
      </c>
    </row>
    <row r="17" spans="1:7" x14ac:dyDescent="0.25">
      <c r="A17" s="7">
        <v>46120</v>
      </c>
      <c r="B17" s="6" t="s">
        <v>4</v>
      </c>
      <c r="C17" s="6">
        <v>280</v>
      </c>
      <c r="D17" s="6" t="s">
        <v>5</v>
      </c>
      <c r="E17" s="6" t="str">
        <f>TEXT(tblDailyExpense[[#This Row],[Date]],"mmm")</f>
        <v>Apr</v>
      </c>
      <c r="F17" s="6" t="str">
        <f>TEXT(tblDailyExpense[[#This Row],[Date]],"ddd")</f>
        <v>Wed</v>
      </c>
      <c r="G17" s="6" t="str">
        <f>IF(tblDailyExpense[[#This Row],[Amount]]&gt;1000,"High","Low")</f>
        <v>Low</v>
      </c>
    </row>
    <row r="18" spans="1:7" x14ac:dyDescent="0.25">
      <c r="A18" s="7">
        <v>46121</v>
      </c>
      <c r="B18" s="6" t="s">
        <v>10</v>
      </c>
      <c r="C18" s="6">
        <v>950</v>
      </c>
      <c r="D18" s="6" t="s">
        <v>5</v>
      </c>
      <c r="E18" s="6" t="str">
        <f>TEXT(tblDailyExpense[[#This Row],[Date]],"mmm")</f>
        <v>Apr</v>
      </c>
      <c r="F18" s="6" t="str">
        <f>TEXT(tblDailyExpense[[#This Row],[Date]],"ddd")</f>
        <v>Thu</v>
      </c>
      <c r="G18" s="6" t="str">
        <f>IF(tblDailyExpense[[#This Row],[Amount]]&gt;1000,"High","Low")</f>
        <v>Low</v>
      </c>
    </row>
    <row r="19" spans="1:7" x14ac:dyDescent="0.25">
      <c r="A19" s="7">
        <v>46121</v>
      </c>
      <c r="B19" s="6" t="s">
        <v>11</v>
      </c>
      <c r="C19" s="6">
        <v>500</v>
      </c>
      <c r="D19" s="6" t="s">
        <v>9</v>
      </c>
      <c r="E19" s="6" t="str">
        <f>TEXT(tblDailyExpense[[#This Row],[Date]],"mmm")</f>
        <v>Apr</v>
      </c>
      <c r="F19" s="6" t="str">
        <f>TEXT(tblDailyExpense[[#This Row],[Date]],"ddd")</f>
        <v>Thu</v>
      </c>
      <c r="G19" s="6" t="str">
        <f>IF(tblDailyExpense[[#This Row],[Amount]]&gt;1000,"High","Low")</f>
        <v>Low</v>
      </c>
    </row>
    <row r="20" spans="1:7" x14ac:dyDescent="0.25">
      <c r="A20" s="7">
        <v>46122</v>
      </c>
      <c r="B20" s="6" t="s">
        <v>4</v>
      </c>
      <c r="C20" s="6">
        <v>320</v>
      </c>
      <c r="D20" s="6" t="s">
        <v>5</v>
      </c>
      <c r="E20" s="6" t="str">
        <f>TEXT(tblDailyExpense[[#This Row],[Date]],"mmm")</f>
        <v>Apr</v>
      </c>
      <c r="F20" s="6" t="str">
        <f>TEXT(tblDailyExpense[[#This Row],[Date]],"ddd")</f>
        <v>Fri</v>
      </c>
      <c r="G20" s="6" t="str">
        <f>IF(tblDailyExpense[[#This Row],[Amount]]&gt;1000,"High","Low")</f>
        <v>Low</v>
      </c>
    </row>
    <row r="21" spans="1:7" x14ac:dyDescent="0.25">
      <c r="A21" s="7">
        <v>46122</v>
      </c>
      <c r="B21" s="6" t="s">
        <v>6</v>
      </c>
      <c r="C21" s="6">
        <v>140</v>
      </c>
      <c r="D21" s="6" t="s">
        <v>7</v>
      </c>
      <c r="E21" s="6" t="str">
        <f>TEXT(tblDailyExpense[[#This Row],[Date]],"mmm")</f>
        <v>Apr</v>
      </c>
      <c r="F21" s="6" t="str">
        <f>TEXT(tblDailyExpense[[#This Row],[Date]],"ddd")</f>
        <v>Fri</v>
      </c>
      <c r="G21" s="6" t="str">
        <f>IF(tblDailyExpense[[#This Row],[Amount]]&gt;1000,"High","Low")</f>
        <v>Low</v>
      </c>
    </row>
    <row r="22" spans="1:7" x14ac:dyDescent="0.25">
      <c r="A22" s="7">
        <v>46123</v>
      </c>
      <c r="B22" s="6" t="s">
        <v>8</v>
      </c>
      <c r="C22" s="6">
        <v>1800</v>
      </c>
      <c r="D22" s="6" t="s">
        <v>9</v>
      </c>
      <c r="E22" s="6" t="str">
        <f>TEXT(tblDailyExpense[[#This Row],[Date]],"mmm")</f>
        <v>Apr</v>
      </c>
      <c r="F22" s="6" t="str">
        <f>TEXT(tblDailyExpense[[#This Row],[Date]],"ddd")</f>
        <v>Sat</v>
      </c>
      <c r="G22" s="6" t="str">
        <f>IF(tblDailyExpense[[#This Row],[Amount]]&gt;1000,"High","Low")</f>
        <v>High</v>
      </c>
    </row>
    <row r="23" spans="1:7" x14ac:dyDescent="0.25">
      <c r="A23" s="7">
        <v>46123</v>
      </c>
      <c r="B23" s="6" t="s">
        <v>4</v>
      </c>
      <c r="C23" s="6">
        <v>260</v>
      </c>
      <c r="D23" s="6" t="s">
        <v>5</v>
      </c>
      <c r="E23" s="6" t="str">
        <f>TEXT(tblDailyExpense[[#This Row],[Date]],"mmm")</f>
        <v>Apr</v>
      </c>
      <c r="F23" s="6" t="str">
        <f>TEXT(tblDailyExpense[[#This Row],[Date]],"ddd")</f>
        <v>Sat</v>
      </c>
      <c r="G23" s="6" t="str">
        <f>IF(tblDailyExpense[[#This Row],[Amount]]&gt;1000,"High","Low")</f>
        <v>Low</v>
      </c>
    </row>
    <row r="24" spans="1:7" x14ac:dyDescent="0.25">
      <c r="A24" s="7">
        <v>46124</v>
      </c>
      <c r="B24" s="6" t="s">
        <v>10</v>
      </c>
      <c r="C24" s="6">
        <v>1100</v>
      </c>
      <c r="D24" s="6" t="s">
        <v>5</v>
      </c>
      <c r="E24" s="6" t="str">
        <f>TEXT(tblDailyExpense[[#This Row],[Date]],"mmm")</f>
        <v>Apr</v>
      </c>
      <c r="F24" s="6" t="str">
        <f>TEXT(tblDailyExpense[[#This Row],[Date]],"ddd")</f>
        <v>Sun</v>
      </c>
      <c r="G24" s="6" t="str">
        <f>IF(tblDailyExpense[[#This Row],[Amount]]&gt;1000,"High","Low")</f>
        <v>High</v>
      </c>
    </row>
    <row r="25" spans="1:7" x14ac:dyDescent="0.25">
      <c r="A25" s="7">
        <v>46124</v>
      </c>
      <c r="B25" s="6" t="s">
        <v>11</v>
      </c>
      <c r="C25" s="6">
        <v>650</v>
      </c>
      <c r="D25" s="6" t="s">
        <v>9</v>
      </c>
      <c r="E25" s="6" t="str">
        <f>TEXT(tblDailyExpense[[#This Row],[Date]],"mmm")</f>
        <v>Apr</v>
      </c>
      <c r="F25" s="6" t="str">
        <f>TEXT(tblDailyExpense[[#This Row],[Date]],"ddd")</f>
        <v>Sun</v>
      </c>
      <c r="G25" s="6" t="str">
        <f>IF(tblDailyExpense[[#This Row],[Amount]]&gt;1000,"High","Low")</f>
        <v>Low</v>
      </c>
    </row>
    <row r="26" spans="1:7" x14ac:dyDescent="0.25">
      <c r="A26" s="7">
        <v>46125</v>
      </c>
      <c r="B26" s="6" t="s">
        <v>4</v>
      </c>
      <c r="C26" s="6">
        <v>300</v>
      </c>
      <c r="D26" s="6" t="s">
        <v>5</v>
      </c>
      <c r="E26" s="6" t="str">
        <f>TEXT(tblDailyExpense[[#This Row],[Date]],"mmm")</f>
        <v>Apr</v>
      </c>
      <c r="F26" s="6" t="str">
        <f>TEXT(tblDailyExpense[[#This Row],[Date]],"ddd")</f>
        <v>Mon</v>
      </c>
      <c r="G26" s="6" t="str">
        <f>IF(tblDailyExpense[[#This Row],[Amount]]&gt;1000,"High","Low")</f>
        <v>Low</v>
      </c>
    </row>
    <row r="27" spans="1:7" x14ac:dyDescent="0.25">
      <c r="A27" s="7">
        <v>46125</v>
      </c>
      <c r="B27" s="6" t="s">
        <v>6</v>
      </c>
      <c r="C27" s="6">
        <v>160</v>
      </c>
      <c r="D27" s="6" t="s">
        <v>7</v>
      </c>
      <c r="E27" s="6" t="str">
        <f>TEXT(tblDailyExpense[[#This Row],[Date]],"mmm")</f>
        <v>Apr</v>
      </c>
      <c r="F27" s="6" t="str">
        <f>TEXT(tblDailyExpense[[#This Row],[Date]],"ddd")</f>
        <v>Mon</v>
      </c>
      <c r="G27" s="6" t="str">
        <f>IF(tblDailyExpense[[#This Row],[Amount]]&gt;1000,"High","Low")</f>
        <v>Low</v>
      </c>
    </row>
    <row r="28" spans="1:7" x14ac:dyDescent="0.25">
      <c r="A28" s="7">
        <v>46126</v>
      </c>
      <c r="B28" s="6" t="s">
        <v>8</v>
      </c>
      <c r="C28" s="6">
        <v>1400</v>
      </c>
      <c r="D28" s="6" t="s">
        <v>9</v>
      </c>
      <c r="E28" s="6" t="str">
        <f>TEXT(tblDailyExpense[[#This Row],[Date]],"mmm")</f>
        <v>Apr</v>
      </c>
      <c r="F28" s="6" t="str">
        <f>TEXT(tblDailyExpense[[#This Row],[Date]],"ddd")</f>
        <v>Tue</v>
      </c>
      <c r="G28" s="6" t="str">
        <f>IF(tblDailyExpense[[#This Row],[Amount]]&gt;1000,"High","Low")</f>
        <v>High</v>
      </c>
    </row>
    <row r="29" spans="1:7" x14ac:dyDescent="0.25">
      <c r="A29" s="7">
        <v>46126</v>
      </c>
      <c r="B29" s="6" t="s">
        <v>4</v>
      </c>
      <c r="C29" s="6">
        <v>350</v>
      </c>
      <c r="D29" s="6" t="s">
        <v>5</v>
      </c>
      <c r="E29" s="6" t="str">
        <f>TEXT(tblDailyExpense[[#This Row],[Date]],"mmm")</f>
        <v>Apr</v>
      </c>
      <c r="F29" s="6" t="str">
        <f>TEXT(tblDailyExpense[[#This Row],[Date]],"ddd")</f>
        <v>Tue</v>
      </c>
      <c r="G29" s="6" t="str">
        <f>IF(tblDailyExpense[[#This Row],[Amount]]&gt;1000,"High","Low")</f>
        <v>Low</v>
      </c>
    </row>
    <row r="30" spans="1:7" x14ac:dyDescent="0.25">
      <c r="A30" s="7">
        <v>46127</v>
      </c>
      <c r="B30" s="6" t="s">
        <v>10</v>
      </c>
      <c r="C30" s="6">
        <v>1000</v>
      </c>
      <c r="D30" s="6" t="s">
        <v>5</v>
      </c>
      <c r="E30" s="6" t="str">
        <f>TEXT(tblDailyExpense[[#This Row],[Date]],"mmm")</f>
        <v>Apr</v>
      </c>
      <c r="F30" s="6" t="str">
        <f>TEXT(tblDailyExpense[[#This Row],[Date]],"ddd")</f>
        <v>Wed</v>
      </c>
      <c r="G30" s="6" t="str">
        <f>IF(tblDailyExpense[[#This Row],[Amount]]&gt;1000,"High","Low")</f>
        <v>Low</v>
      </c>
    </row>
    <row r="31" spans="1:7" x14ac:dyDescent="0.25">
      <c r="A31" s="7">
        <v>46127</v>
      </c>
      <c r="B31" s="6" t="s">
        <v>11</v>
      </c>
      <c r="C31" s="6">
        <v>550</v>
      </c>
      <c r="D31" s="6" t="s">
        <v>9</v>
      </c>
      <c r="E31" s="6" t="str">
        <f>TEXT(tblDailyExpense[[#This Row],[Date]],"mmm")</f>
        <v>Apr</v>
      </c>
      <c r="F31" s="6" t="str">
        <f>TEXT(tblDailyExpense[[#This Row],[Date]],"ddd")</f>
        <v>Wed</v>
      </c>
      <c r="G31" s="6" t="str">
        <f>IF(tblDailyExpense[[#This Row],[Amount]]&gt;1000,"High","Low")</f>
        <v>Low</v>
      </c>
    </row>
    <row r="32" spans="1:7" x14ac:dyDescent="0.25">
      <c r="A32" s="7">
        <v>46128</v>
      </c>
      <c r="B32" s="6" t="s">
        <v>4</v>
      </c>
      <c r="C32" s="6">
        <v>270</v>
      </c>
      <c r="D32" s="6" t="s">
        <v>5</v>
      </c>
      <c r="E32" s="6" t="str">
        <f>TEXT(tblDailyExpense[[#This Row],[Date]],"mmm")</f>
        <v>Apr</v>
      </c>
      <c r="F32" s="6" t="str">
        <f>TEXT(tblDailyExpense[[#This Row],[Date]],"ddd")</f>
        <v>Thu</v>
      </c>
      <c r="G32" s="6" t="str">
        <f>IF(tblDailyExpense[[#This Row],[Amount]]&gt;1000,"High","Low")</f>
        <v>Low</v>
      </c>
    </row>
    <row r="33" spans="1:7" x14ac:dyDescent="0.25">
      <c r="A33" s="7">
        <v>46128</v>
      </c>
      <c r="B33" s="6" t="s">
        <v>6</v>
      </c>
      <c r="C33" s="6">
        <v>130</v>
      </c>
      <c r="D33" s="6" t="s">
        <v>7</v>
      </c>
      <c r="E33" s="6" t="str">
        <f>TEXT(tblDailyExpense[[#This Row],[Date]],"mmm")</f>
        <v>Apr</v>
      </c>
      <c r="F33" s="6" t="str">
        <f>TEXT(tblDailyExpense[[#This Row],[Date]],"ddd")</f>
        <v>Thu</v>
      </c>
      <c r="G33" s="6" t="str">
        <f>IF(tblDailyExpense[[#This Row],[Amount]]&gt;1000,"High","Low")</f>
        <v>Low</v>
      </c>
    </row>
    <row r="34" spans="1:7" x14ac:dyDescent="0.25">
      <c r="A34" s="7">
        <v>46129</v>
      </c>
      <c r="B34" s="6" t="s">
        <v>8</v>
      </c>
      <c r="C34" s="6">
        <v>2000</v>
      </c>
      <c r="D34" s="6" t="s">
        <v>9</v>
      </c>
      <c r="E34" s="6" t="str">
        <f>TEXT(tblDailyExpense[[#This Row],[Date]],"mmm")</f>
        <v>Apr</v>
      </c>
      <c r="F34" s="6" t="str">
        <f>TEXT(tblDailyExpense[[#This Row],[Date]],"ddd")</f>
        <v>Fri</v>
      </c>
      <c r="G34" s="6" t="str">
        <f>IF(tblDailyExpense[[#This Row],[Amount]]&gt;1000,"High","Low")</f>
        <v>High</v>
      </c>
    </row>
    <row r="35" spans="1:7" x14ac:dyDescent="0.25">
      <c r="A35" s="7">
        <v>46129</v>
      </c>
      <c r="B35" s="6" t="s">
        <v>4</v>
      </c>
      <c r="C35" s="6">
        <v>320</v>
      </c>
      <c r="D35" s="6" t="s">
        <v>5</v>
      </c>
      <c r="E35" s="6" t="str">
        <f>TEXT(tblDailyExpense[[#This Row],[Date]],"mmm")</f>
        <v>Apr</v>
      </c>
      <c r="F35" s="6" t="str">
        <f>TEXT(tblDailyExpense[[#This Row],[Date]],"ddd")</f>
        <v>Fri</v>
      </c>
      <c r="G35" s="6" t="str">
        <f>IF(tblDailyExpense[[#This Row],[Amount]]&gt;1000,"High","Low")</f>
        <v>Low</v>
      </c>
    </row>
    <row r="36" spans="1:7" x14ac:dyDescent="0.25">
      <c r="A36" s="7">
        <v>46130</v>
      </c>
      <c r="B36" s="6" t="s">
        <v>10</v>
      </c>
      <c r="C36" s="6">
        <v>950</v>
      </c>
      <c r="D36" s="6" t="s">
        <v>5</v>
      </c>
      <c r="E36" s="6" t="str">
        <f>TEXT(tblDailyExpense[[#This Row],[Date]],"mmm")</f>
        <v>Apr</v>
      </c>
      <c r="F36" s="6" t="str">
        <f>TEXT(tblDailyExpense[[#This Row],[Date]],"ddd")</f>
        <v>Sat</v>
      </c>
      <c r="G36" s="6" t="str">
        <f>IF(tblDailyExpense[[#This Row],[Amount]]&gt;1000,"High","Low")</f>
        <v>Low</v>
      </c>
    </row>
    <row r="37" spans="1:7" x14ac:dyDescent="0.25">
      <c r="A37" s="7">
        <v>46130</v>
      </c>
      <c r="B37" s="6" t="s">
        <v>11</v>
      </c>
      <c r="C37" s="6">
        <v>600</v>
      </c>
      <c r="D37" s="6" t="s">
        <v>9</v>
      </c>
      <c r="E37" s="6" t="str">
        <f>TEXT(tblDailyExpense[[#This Row],[Date]],"mmm")</f>
        <v>Apr</v>
      </c>
      <c r="F37" s="6" t="str">
        <f>TEXT(tblDailyExpense[[#This Row],[Date]],"ddd")</f>
        <v>Sat</v>
      </c>
      <c r="G37" s="6" t="str">
        <f>IF(tblDailyExpense[[#This Row],[Amount]]&gt;1000,"High","Low")</f>
        <v>Low</v>
      </c>
    </row>
    <row r="38" spans="1:7" x14ac:dyDescent="0.25">
      <c r="A38" s="7">
        <v>46131</v>
      </c>
      <c r="B38" s="6" t="s">
        <v>4</v>
      </c>
      <c r="C38" s="6">
        <v>290</v>
      </c>
      <c r="D38" s="6" t="s">
        <v>5</v>
      </c>
      <c r="E38" s="6" t="str">
        <f>TEXT(tblDailyExpense[[#This Row],[Date]],"mmm")</f>
        <v>Apr</v>
      </c>
      <c r="F38" s="6" t="str">
        <f>TEXT(tblDailyExpense[[#This Row],[Date]],"ddd")</f>
        <v>Sun</v>
      </c>
      <c r="G38" s="6" t="str">
        <f>IF(tblDailyExpense[[#This Row],[Amount]]&gt;1000,"High","Low")</f>
        <v>Low</v>
      </c>
    </row>
    <row r="39" spans="1:7" x14ac:dyDescent="0.25">
      <c r="A39" s="7">
        <v>46131</v>
      </c>
      <c r="B39" s="6" t="s">
        <v>6</v>
      </c>
      <c r="C39" s="6">
        <v>170</v>
      </c>
      <c r="D39" s="6" t="s">
        <v>7</v>
      </c>
      <c r="E39" s="6" t="str">
        <f>TEXT(tblDailyExpense[[#This Row],[Date]],"mmm")</f>
        <v>Apr</v>
      </c>
      <c r="F39" s="6" t="str">
        <f>TEXT(tblDailyExpense[[#This Row],[Date]],"ddd")</f>
        <v>Sun</v>
      </c>
      <c r="G39" s="6" t="str">
        <f>IF(tblDailyExpense[[#This Row],[Amount]]&gt;1000,"High","Low")</f>
        <v>Low</v>
      </c>
    </row>
    <row r="40" spans="1:7" x14ac:dyDescent="0.25">
      <c r="A40" s="7">
        <v>46132</v>
      </c>
      <c r="B40" s="6" t="s">
        <v>8</v>
      </c>
      <c r="C40" s="6">
        <v>1600</v>
      </c>
      <c r="D40" s="6" t="s">
        <v>9</v>
      </c>
      <c r="E40" s="6" t="str">
        <f>TEXT(tblDailyExpense[[#This Row],[Date]],"mmm")</f>
        <v>Apr</v>
      </c>
      <c r="F40" s="6" t="str">
        <f>TEXT(tblDailyExpense[[#This Row],[Date]],"ddd")</f>
        <v>Mon</v>
      </c>
      <c r="G40" s="6" t="str">
        <f>IF(tblDailyExpense[[#This Row],[Amount]]&gt;1000,"High","Low")</f>
        <v>High</v>
      </c>
    </row>
    <row r="41" spans="1:7" x14ac:dyDescent="0.25">
      <c r="A41" s="7">
        <v>46132</v>
      </c>
      <c r="B41" s="6" t="s">
        <v>4</v>
      </c>
      <c r="C41" s="6">
        <v>310</v>
      </c>
      <c r="D41" s="6" t="s">
        <v>5</v>
      </c>
      <c r="E41" s="6" t="str">
        <f>TEXT(tblDailyExpense[[#This Row],[Date]],"mmm")</f>
        <v>Apr</v>
      </c>
      <c r="F41" s="6" t="str">
        <f>TEXT(tblDailyExpense[[#This Row],[Date]],"ddd")</f>
        <v>Mon</v>
      </c>
      <c r="G41" s="6" t="str">
        <f>IF(tblDailyExpense[[#This Row],[Amount]]&gt;1000,"High","Low")</f>
        <v>Low</v>
      </c>
    </row>
    <row r="42" spans="1:7" x14ac:dyDescent="0.25">
      <c r="A42" s="7">
        <v>46133</v>
      </c>
      <c r="B42" s="6" t="s">
        <v>10</v>
      </c>
      <c r="C42" s="6">
        <v>1050</v>
      </c>
      <c r="D42" s="6" t="s">
        <v>5</v>
      </c>
      <c r="E42" s="6" t="str">
        <f>TEXT(tblDailyExpense[[#This Row],[Date]],"mmm")</f>
        <v>Apr</v>
      </c>
      <c r="F42" s="6" t="str">
        <f>TEXT(tblDailyExpense[[#This Row],[Date]],"ddd")</f>
        <v>Tue</v>
      </c>
      <c r="G42" s="6" t="str">
        <f>IF(tblDailyExpense[[#This Row],[Amount]]&gt;1000,"High","Low")</f>
        <v>High</v>
      </c>
    </row>
    <row r="43" spans="1:7" x14ac:dyDescent="0.25">
      <c r="A43" s="7">
        <v>46133</v>
      </c>
      <c r="B43" s="6" t="s">
        <v>11</v>
      </c>
      <c r="C43" s="6">
        <v>700</v>
      </c>
      <c r="D43" s="6" t="s">
        <v>9</v>
      </c>
      <c r="E43" s="6" t="str">
        <f>TEXT(tblDailyExpense[[#This Row],[Date]],"mmm")</f>
        <v>Apr</v>
      </c>
      <c r="F43" s="6" t="str">
        <f>TEXT(tblDailyExpense[[#This Row],[Date]],"ddd")</f>
        <v>Tue</v>
      </c>
      <c r="G43" s="6" t="str">
        <f>IF(tblDailyExpense[[#This Row],[Amount]]&gt;1000,"High","Low")</f>
        <v>Low</v>
      </c>
    </row>
    <row r="44" spans="1:7" x14ac:dyDescent="0.25">
      <c r="A44" s="7">
        <v>46134</v>
      </c>
      <c r="B44" s="6" t="s">
        <v>4</v>
      </c>
      <c r="C44" s="6">
        <v>330</v>
      </c>
      <c r="D44" s="6" t="s">
        <v>5</v>
      </c>
      <c r="E44" s="6" t="str">
        <f>TEXT(tblDailyExpense[[#This Row],[Date]],"mmm")</f>
        <v>Apr</v>
      </c>
      <c r="F44" s="6" t="str">
        <f>TEXT(tblDailyExpense[[#This Row],[Date]],"ddd")</f>
        <v>Wed</v>
      </c>
      <c r="G44" s="6" t="str">
        <f>IF(tblDailyExpense[[#This Row],[Amount]]&gt;1000,"High","Low")</f>
        <v>Low</v>
      </c>
    </row>
    <row r="45" spans="1:7" x14ac:dyDescent="0.25">
      <c r="A45" s="7">
        <v>46134</v>
      </c>
      <c r="B45" s="6" t="s">
        <v>6</v>
      </c>
      <c r="C45" s="6">
        <v>150</v>
      </c>
      <c r="D45" s="6" t="s">
        <v>7</v>
      </c>
      <c r="E45" s="6" t="str">
        <f>TEXT(tblDailyExpense[[#This Row],[Date]],"mmm")</f>
        <v>Apr</v>
      </c>
      <c r="F45" s="6" t="str">
        <f>TEXT(tblDailyExpense[[#This Row],[Date]],"ddd")</f>
        <v>Wed</v>
      </c>
      <c r="G45" s="6" t="str">
        <f>IF(tblDailyExpense[[#This Row],[Amount]]&gt;1000,"High","Low")</f>
        <v>Low</v>
      </c>
    </row>
    <row r="46" spans="1:7" x14ac:dyDescent="0.25">
      <c r="A46" s="7">
        <v>46135</v>
      </c>
      <c r="B46" s="6" t="s">
        <v>8</v>
      </c>
      <c r="C46" s="6">
        <v>1900</v>
      </c>
      <c r="D46" s="6" t="s">
        <v>9</v>
      </c>
      <c r="E46" s="6" t="str">
        <f>TEXT(tblDailyExpense[[#This Row],[Date]],"mmm")</f>
        <v>Apr</v>
      </c>
      <c r="F46" s="6" t="str">
        <f>TEXT(tblDailyExpense[[#This Row],[Date]],"ddd")</f>
        <v>Thu</v>
      </c>
      <c r="G46" s="6" t="str">
        <f>IF(tblDailyExpense[[#This Row],[Amount]]&gt;1000,"High","Low")</f>
        <v>High</v>
      </c>
    </row>
    <row r="47" spans="1:7" x14ac:dyDescent="0.25">
      <c r="A47" s="7">
        <v>46135</v>
      </c>
      <c r="B47" s="6" t="s">
        <v>4</v>
      </c>
      <c r="C47" s="6">
        <v>360</v>
      </c>
      <c r="D47" s="6" t="s">
        <v>5</v>
      </c>
      <c r="E47" s="6" t="str">
        <f>TEXT(tblDailyExpense[[#This Row],[Date]],"mmm")</f>
        <v>Apr</v>
      </c>
      <c r="F47" s="6" t="str">
        <f>TEXT(tblDailyExpense[[#This Row],[Date]],"ddd")</f>
        <v>Thu</v>
      </c>
      <c r="G47" s="6" t="str">
        <f>IF(tblDailyExpense[[#This Row],[Amount]]&gt;1000,"High","Low")</f>
        <v>Low</v>
      </c>
    </row>
    <row r="48" spans="1:7" x14ac:dyDescent="0.25">
      <c r="A48" s="7">
        <v>46136</v>
      </c>
      <c r="B48" s="6" t="s">
        <v>10</v>
      </c>
      <c r="C48" s="6">
        <v>1150</v>
      </c>
      <c r="D48" s="6" t="s">
        <v>5</v>
      </c>
      <c r="E48" s="6" t="str">
        <f>TEXT(tblDailyExpense[[#This Row],[Date]],"mmm")</f>
        <v>Apr</v>
      </c>
      <c r="F48" s="6" t="str">
        <f>TEXT(tblDailyExpense[[#This Row],[Date]],"ddd")</f>
        <v>Fri</v>
      </c>
      <c r="G48" s="6" t="str">
        <f>IF(tblDailyExpense[[#This Row],[Amount]]&gt;1000,"High","Low")</f>
        <v>High</v>
      </c>
    </row>
    <row r="49" spans="1:7" x14ac:dyDescent="0.25">
      <c r="A49" s="7">
        <v>46136</v>
      </c>
      <c r="B49" s="6" t="s">
        <v>11</v>
      </c>
      <c r="C49" s="6">
        <v>650</v>
      </c>
      <c r="D49" s="6" t="s">
        <v>9</v>
      </c>
      <c r="E49" s="6" t="str">
        <f>TEXT(tblDailyExpense[[#This Row],[Date]],"mmm")</f>
        <v>Apr</v>
      </c>
      <c r="F49" s="6" t="str">
        <f>TEXT(tblDailyExpense[[#This Row],[Date]],"ddd")</f>
        <v>Fri</v>
      </c>
      <c r="G49" s="6" t="str">
        <f>IF(tblDailyExpense[[#This Row],[Amount]]&gt;1000,"High","Low")</f>
        <v>Low</v>
      </c>
    </row>
    <row r="50" spans="1:7" x14ac:dyDescent="0.25">
      <c r="A50" s="7">
        <v>46137</v>
      </c>
      <c r="B50" s="6" t="s">
        <v>4</v>
      </c>
      <c r="C50" s="6">
        <v>280</v>
      </c>
      <c r="D50" s="6" t="s">
        <v>5</v>
      </c>
      <c r="E50" s="6" t="str">
        <f>TEXT(tblDailyExpense[[#This Row],[Date]],"mmm")</f>
        <v>Apr</v>
      </c>
      <c r="F50" s="6" t="str">
        <f>TEXT(tblDailyExpense[[#This Row],[Date]],"ddd")</f>
        <v>Sat</v>
      </c>
      <c r="G50" s="6" t="str">
        <f>IF(tblDailyExpense[[#This Row],[Amount]]&gt;1000,"High","Low")</f>
        <v>Low</v>
      </c>
    </row>
    <row r="51" spans="1:7" x14ac:dyDescent="0.25">
      <c r="A51" s="7">
        <v>46137</v>
      </c>
      <c r="B51" s="6" t="s">
        <v>6</v>
      </c>
      <c r="C51" s="6">
        <v>140</v>
      </c>
      <c r="D51" s="6" t="s">
        <v>7</v>
      </c>
      <c r="E51" s="6" t="str">
        <f>TEXT(tblDailyExpense[[#This Row],[Date]],"mmm")</f>
        <v>Apr</v>
      </c>
      <c r="F51" s="6" t="str">
        <f>TEXT(tblDailyExpense[[#This Row],[Date]],"ddd")</f>
        <v>Sat</v>
      </c>
      <c r="G51" s="6" t="str">
        <f>IF(tblDailyExpense[[#This Row],[Amount]]&gt;1000,"High","Low")</f>
        <v>Low</v>
      </c>
    </row>
    <row r="52" spans="1:7" x14ac:dyDescent="0.25">
      <c r="A52" s="7">
        <v>46138</v>
      </c>
      <c r="B52" s="6" t="s">
        <v>8</v>
      </c>
      <c r="C52" s="6">
        <v>2100</v>
      </c>
      <c r="D52" s="6" t="s">
        <v>9</v>
      </c>
      <c r="E52" s="6" t="str">
        <f>TEXT(tblDailyExpense[[#This Row],[Date]],"mmm")</f>
        <v>Apr</v>
      </c>
      <c r="F52" s="6" t="str">
        <f>TEXT(tblDailyExpense[[#This Row],[Date]],"ddd")</f>
        <v>Sun</v>
      </c>
      <c r="G52" s="6" t="str">
        <f>IF(tblDailyExpense[[#This Row],[Amount]]&gt;1000,"High","Low")</f>
        <v>High</v>
      </c>
    </row>
    <row r="53" spans="1:7" x14ac:dyDescent="0.25">
      <c r="A53" s="7">
        <v>46138</v>
      </c>
      <c r="B53" s="6" t="s">
        <v>4</v>
      </c>
      <c r="C53" s="6">
        <v>340</v>
      </c>
      <c r="D53" s="6" t="s">
        <v>5</v>
      </c>
      <c r="E53" s="6" t="str">
        <f>TEXT(tblDailyExpense[[#This Row],[Date]],"mmm")</f>
        <v>Apr</v>
      </c>
      <c r="F53" s="6" t="str">
        <f>TEXT(tblDailyExpense[[#This Row],[Date]],"ddd")</f>
        <v>Sun</v>
      </c>
      <c r="G53" s="6" t="str">
        <f>IF(tblDailyExpense[[#This Row],[Amount]]&gt;1000,"High","Low")</f>
        <v>Low</v>
      </c>
    </row>
    <row r="54" spans="1:7" x14ac:dyDescent="0.25">
      <c r="A54" s="7">
        <v>46139</v>
      </c>
      <c r="B54" s="6" t="s">
        <v>10</v>
      </c>
      <c r="C54" s="6">
        <v>980</v>
      </c>
      <c r="D54" s="6" t="s">
        <v>5</v>
      </c>
      <c r="E54" s="6" t="str">
        <f>TEXT(tblDailyExpense[[#This Row],[Date]],"mmm")</f>
        <v>Apr</v>
      </c>
      <c r="F54" s="6" t="str">
        <f>TEXT(tblDailyExpense[[#This Row],[Date]],"ddd")</f>
        <v>Mon</v>
      </c>
      <c r="G54" s="6" t="str">
        <f>IF(tblDailyExpense[[#This Row],[Amount]]&gt;1000,"High","Low")</f>
        <v>Low</v>
      </c>
    </row>
    <row r="55" spans="1:7" x14ac:dyDescent="0.25">
      <c r="A55" s="7">
        <v>46139</v>
      </c>
      <c r="B55" s="6" t="s">
        <v>11</v>
      </c>
      <c r="C55" s="6">
        <v>720</v>
      </c>
      <c r="D55" s="6" t="s">
        <v>9</v>
      </c>
      <c r="E55" s="6" t="str">
        <f>TEXT(tblDailyExpense[[#This Row],[Date]],"mmm")</f>
        <v>Apr</v>
      </c>
      <c r="F55" s="6" t="str">
        <f>TEXT(tblDailyExpense[[#This Row],[Date]],"ddd")</f>
        <v>Mon</v>
      </c>
      <c r="G55" s="6" t="str">
        <f>IF(tblDailyExpense[[#This Row],[Amount]]&gt;1000,"High","Low")</f>
        <v>Low</v>
      </c>
    </row>
    <row r="56" spans="1:7" x14ac:dyDescent="0.25">
      <c r="A56" s="7">
        <v>46140</v>
      </c>
      <c r="B56" s="6" t="s">
        <v>4</v>
      </c>
      <c r="C56" s="6">
        <v>300</v>
      </c>
      <c r="D56" s="6" t="s">
        <v>5</v>
      </c>
      <c r="E56" s="6" t="str">
        <f>TEXT(tblDailyExpense[[#This Row],[Date]],"mmm")</f>
        <v>Apr</v>
      </c>
      <c r="F56" s="6" t="str">
        <f>TEXT(tblDailyExpense[[#This Row],[Date]],"ddd")</f>
        <v>Tue</v>
      </c>
      <c r="G56" s="6" t="str">
        <f>IF(tblDailyExpense[[#This Row],[Amount]]&gt;1000,"High","Low")</f>
        <v>Low</v>
      </c>
    </row>
    <row r="57" spans="1:7" x14ac:dyDescent="0.25">
      <c r="A57" s="7">
        <v>46140</v>
      </c>
      <c r="B57" s="6" t="s">
        <v>6</v>
      </c>
      <c r="C57" s="6">
        <v>160</v>
      </c>
      <c r="D57" s="6" t="s">
        <v>7</v>
      </c>
      <c r="E57" s="6" t="str">
        <f>TEXT(tblDailyExpense[[#This Row],[Date]],"mmm")</f>
        <v>Apr</v>
      </c>
      <c r="F57" s="6" t="str">
        <f>TEXT(tblDailyExpense[[#This Row],[Date]],"ddd")</f>
        <v>Tue</v>
      </c>
      <c r="G57" s="6" t="str">
        <f>IF(tblDailyExpense[[#This Row],[Amount]]&gt;1000,"High","Low")</f>
        <v>Low</v>
      </c>
    </row>
    <row r="58" spans="1:7" x14ac:dyDescent="0.25">
      <c r="A58" s="7">
        <v>46141</v>
      </c>
      <c r="B58" s="6" t="s">
        <v>8</v>
      </c>
      <c r="C58" s="6">
        <v>1700</v>
      </c>
      <c r="D58" s="6" t="s">
        <v>9</v>
      </c>
      <c r="E58" s="6" t="str">
        <f>TEXT(tblDailyExpense[[#This Row],[Date]],"mmm")</f>
        <v>Apr</v>
      </c>
      <c r="F58" s="6" t="str">
        <f>TEXT(tblDailyExpense[[#This Row],[Date]],"ddd")</f>
        <v>Wed</v>
      </c>
      <c r="G58" s="6" t="str">
        <f>IF(tblDailyExpense[[#This Row],[Amount]]&gt;1000,"High","Low")</f>
        <v>High</v>
      </c>
    </row>
    <row r="59" spans="1:7" x14ac:dyDescent="0.25">
      <c r="A59" s="7">
        <v>46141</v>
      </c>
      <c r="B59" s="6" t="s">
        <v>4</v>
      </c>
      <c r="C59" s="6">
        <v>350</v>
      </c>
      <c r="D59" s="6" t="s">
        <v>5</v>
      </c>
      <c r="E59" s="6" t="str">
        <f>TEXT(tblDailyExpense[[#This Row],[Date]],"mmm")</f>
        <v>Apr</v>
      </c>
      <c r="F59" s="6" t="str">
        <f>TEXT(tblDailyExpense[[#This Row],[Date]],"ddd")</f>
        <v>Wed</v>
      </c>
      <c r="G59" s="6" t="str">
        <f>IF(tblDailyExpense[[#This Row],[Amount]]&gt;1000,"High","Low")</f>
        <v>Low</v>
      </c>
    </row>
    <row r="60" spans="1:7" x14ac:dyDescent="0.25">
      <c r="A60" s="7">
        <v>46142</v>
      </c>
      <c r="B60" s="6" t="s">
        <v>10</v>
      </c>
      <c r="C60" s="6">
        <v>1200</v>
      </c>
      <c r="D60" s="6" t="s">
        <v>5</v>
      </c>
      <c r="E60" s="6" t="str">
        <f>TEXT(tblDailyExpense[[#This Row],[Date]],"mmm")</f>
        <v>Apr</v>
      </c>
      <c r="F60" s="6" t="str">
        <f>TEXT(tblDailyExpense[[#This Row],[Date]],"ddd")</f>
        <v>Thu</v>
      </c>
      <c r="G60" s="6" t="str">
        <f>IF(tblDailyExpense[[#This Row],[Amount]]&gt;1000,"High","Low")</f>
        <v>High</v>
      </c>
    </row>
    <row r="61" spans="1:7" x14ac:dyDescent="0.25">
      <c r="A61" s="7">
        <v>46142</v>
      </c>
      <c r="B61" s="6" t="s">
        <v>11</v>
      </c>
      <c r="C61" s="6">
        <v>800</v>
      </c>
      <c r="D61" s="6" t="s">
        <v>9</v>
      </c>
      <c r="E61" s="6" t="str">
        <f>TEXT(tblDailyExpense[[#This Row],[Date]],"mmm")</f>
        <v>Apr</v>
      </c>
      <c r="F61" s="6" t="str">
        <f>TEXT(tblDailyExpense[[#This Row],[Date]],"ddd")</f>
        <v>Thu</v>
      </c>
      <c r="G61" s="6" t="str">
        <f>IF(tblDailyExpense[[#This Row],[Amount]]&gt;1000,"High","Low")</f>
        <v>Low</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C5D8D-ACB0-4947-805F-C9DC7017576A}">
  <dimension ref="A3:B9"/>
  <sheetViews>
    <sheetView zoomScale="115" zoomScaleNormal="115" workbookViewId="0">
      <selection activeCell="I15" sqref="I15"/>
    </sheetView>
  </sheetViews>
  <sheetFormatPr defaultRowHeight="15" x14ac:dyDescent="0.25"/>
  <cols>
    <col min="1" max="1" width="14" bestFit="1" customWidth="1"/>
    <col min="2" max="2" width="14.85546875" bestFit="1" customWidth="1"/>
  </cols>
  <sheetData>
    <row r="3" spans="1:2" x14ac:dyDescent="0.25">
      <c r="A3" s="1" t="s">
        <v>12</v>
      </c>
      <c r="B3" t="s">
        <v>14</v>
      </c>
    </row>
    <row r="4" spans="1:2" x14ac:dyDescent="0.25">
      <c r="A4" s="2" t="s">
        <v>10</v>
      </c>
      <c r="B4" s="3">
        <v>10480</v>
      </c>
    </row>
    <row r="5" spans="1:2" x14ac:dyDescent="0.25">
      <c r="A5" s="2" t="s">
        <v>11</v>
      </c>
      <c r="B5" s="3">
        <v>6470</v>
      </c>
    </row>
    <row r="6" spans="1:2" x14ac:dyDescent="0.25">
      <c r="A6" s="2" t="s">
        <v>4</v>
      </c>
      <c r="B6" s="3">
        <v>6160</v>
      </c>
    </row>
    <row r="7" spans="1:2" x14ac:dyDescent="0.25">
      <c r="A7" s="2" t="s">
        <v>8</v>
      </c>
      <c r="B7" s="3">
        <v>17000</v>
      </c>
    </row>
    <row r="8" spans="1:2" x14ac:dyDescent="0.25">
      <c r="A8" s="2" t="s">
        <v>6</v>
      </c>
      <c r="B8" s="3">
        <v>1500</v>
      </c>
    </row>
    <row r="9" spans="1:2" x14ac:dyDescent="0.25">
      <c r="A9" s="2" t="s">
        <v>13</v>
      </c>
      <c r="B9" s="3">
        <v>41610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F566-9340-484B-BCF8-80105D717EBB}">
  <dimension ref="A3:B7"/>
  <sheetViews>
    <sheetView zoomScale="115" zoomScaleNormal="115" workbookViewId="0">
      <selection activeCell="I12" sqref="I12"/>
    </sheetView>
  </sheetViews>
  <sheetFormatPr defaultRowHeight="15" x14ac:dyDescent="0.25"/>
  <cols>
    <col min="1" max="1" width="13.140625" bestFit="1" customWidth="1"/>
    <col min="2" max="2" width="14.85546875" bestFit="1" customWidth="1"/>
  </cols>
  <sheetData>
    <row r="3" spans="1:2" x14ac:dyDescent="0.25">
      <c r="A3" s="1" t="s">
        <v>12</v>
      </c>
      <c r="B3" t="s">
        <v>14</v>
      </c>
    </row>
    <row r="4" spans="1:2" x14ac:dyDescent="0.25">
      <c r="A4" s="2" t="s">
        <v>9</v>
      </c>
      <c r="B4" s="3">
        <v>23470</v>
      </c>
    </row>
    <row r="5" spans="1:2" x14ac:dyDescent="0.25">
      <c r="A5" s="2" t="s">
        <v>7</v>
      </c>
      <c r="B5" s="3">
        <v>1500</v>
      </c>
    </row>
    <row r="6" spans="1:2" x14ac:dyDescent="0.25">
      <c r="A6" s="2" t="s">
        <v>5</v>
      </c>
      <c r="B6" s="3">
        <v>16640</v>
      </c>
    </row>
    <row r="7" spans="1:2" x14ac:dyDescent="0.25">
      <c r="A7" s="2" t="s">
        <v>13</v>
      </c>
      <c r="B7" s="3">
        <v>41610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5083E-7BB0-4B79-BB25-A714B4C8B85E}">
  <dimension ref="A3:B34"/>
  <sheetViews>
    <sheetView topLeftCell="A13" zoomScaleNormal="100" workbookViewId="0">
      <selection activeCell="D13" sqref="D13"/>
    </sheetView>
  </sheetViews>
  <sheetFormatPr defaultRowHeight="15" x14ac:dyDescent="0.25"/>
  <cols>
    <col min="1" max="1" width="13.140625" bestFit="1" customWidth="1"/>
    <col min="2" max="2" width="14.85546875" bestFit="1" customWidth="1"/>
  </cols>
  <sheetData>
    <row r="3" spans="1:2" x14ac:dyDescent="0.25">
      <c r="A3" s="1" t="s">
        <v>12</v>
      </c>
      <c r="B3" t="s">
        <v>14</v>
      </c>
    </row>
    <row r="4" spans="1:2" x14ac:dyDescent="0.25">
      <c r="A4" s="4">
        <v>46113</v>
      </c>
      <c r="B4" s="3">
        <v>370</v>
      </c>
    </row>
    <row r="5" spans="1:2" x14ac:dyDescent="0.25">
      <c r="A5" s="4">
        <v>46114</v>
      </c>
      <c r="B5" s="3">
        <v>1800</v>
      </c>
    </row>
    <row r="6" spans="1:2" x14ac:dyDescent="0.25">
      <c r="A6" s="4">
        <v>46115</v>
      </c>
      <c r="B6" s="3">
        <v>1500</v>
      </c>
    </row>
    <row r="7" spans="1:2" x14ac:dyDescent="0.25">
      <c r="A7" s="4">
        <v>46116</v>
      </c>
      <c r="B7" s="3">
        <v>350</v>
      </c>
    </row>
    <row r="8" spans="1:2" x14ac:dyDescent="0.25">
      <c r="A8" s="4">
        <v>46117</v>
      </c>
      <c r="B8" s="3">
        <v>2550</v>
      </c>
    </row>
    <row r="9" spans="1:2" x14ac:dyDescent="0.25">
      <c r="A9" s="4">
        <v>46118</v>
      </c>
      <c r="B9" s="3">
        <v>1900</v>
      </c>
    </row>
    <row r="10" spans="1:2" x14ac:dyDescent="0.25">
      <c r="A10" s="4">
        <v>46119</v>
      </c>
      <c r="B10" s="3">
        <v>580</v>
      </c>
    </row>
    <row r="11" spans="1:2" x14ac:dyDescent="0.25">
      <c r="A11" s="4">
        <v>46120</v>
      </c>
      <c r="B11" s="3">
        <v>1080</v>
      </c>
    </row>
    <row r="12" spans="1:2" x14ac:dyDescent="0.25">
      <c r="A12" s="4">
        <v>46121</v>
      </c>
      <c r="B12" s="3">
        <v>1450</v>
      </c>
    </row>
    <row r="13" spans="1:2" x14ac:dyDescent="0.25">
      <c r="A13" s="4">
        <v>46122</v>
      </c>
      <c r="B13" s="3">
        <v>460</v>
      </c>
    </row>
    <row r="14" spans="1:2" x14ac:dyDescent="0.25">
      <c r="A14" s="4">
        <v>46123</v>
      </c>
      <c r="B14" s="3">
        <v>2060</v>
      </c>
    </row>
    <row r="15" spans="1:2" x14ac:dyDescent="0.25">
      <c r="A15" s="4">
        <v>46124</v>
      </c>
      <c r="B15" s="3">
        <v>1750</v>
      </c>
    </row>
    <row r="16" spans="1:2" x14ac:dyDescent="0.25">
      <c r="A16" s="4">
        <v>46125</v>
      </c>
      <c r="B16" s="3">
        <v>460</v>
      </c>
    </row>
    <row r="17" spans="1:2" x14ac:dyDescent="0.25">
      <c r="A17" s="4">
        <v>46126</v>
      </c>
      <c r="B17" s="3">
        <v>1750</v>
      </c>
    </row>
    <row r="18" spans="1:2" x14ac:dyDescent="0.25">
      <c r="A18" s="4">
        <v>46127</v>
      </c>
      <c r="B18" s="3">
        <v>1550</v>
      </c>
    </row>
    <row r="19" spans="1:2" x14ac:dyDescent="0.25">
      <c r="A19" s="4">
        <v>46128</v>
      </c>
      <c r="B19" s="3">
        <v>400</v>
      </c>
    </row>
    <row r="20" spans="1:2" x14ac:dyDescent="0.25">
      <c r="A20" s="4">
        <v>46129</v>
      </c>
      <c r="B20" s="3">
        <v>2320</v>
      </c>
    </row>
    <row r="21" spans="1:2" x14ac:dyDescent="0.25">
      <c r="A21" s="4">
        <v>46130</v>
      </c>
      <c r="B21" s="3">
        <v>1550</v>
      </c>
    </row>
    <row r="22" spans="1:2" x14ac:dyDescent="0.25">
      <c r="A22" s="4">
        <v>46131</v>
      </c>
      <c r="B22" s="3">
        <v>460</v>
      </c>
    </row>
    <row r="23" spans="1:2" x14ac:dyDescent="0.25">
      <c r="A23" s="4">
        <v>46132</v>
      </c>
      <c r="B23" s="3">
        <v>1910</v>
      </c>
    </row>
    <row r="24" spans="1:2" x14ac:dyDescent="0.25">
      <c r="A24" s="4">
        <v>46133</v>
      </c>
      <c r="B24" s="3">
        <v>1750</v>
      </c>
    </row>
    <row r="25" spans="1:2" x14ac:dyDescent="0.25">
      <c r="A25" s="4">
        <v>46134</v>
      </c>
      <c r="B25" s="3">
        <v>480</v>
      </c>
    </row>
    <row r="26" spans="1:2" x14ac:dyDescent="0.25">
      <c r="A26" s="4">
        <v>46135</v>
      </c>
      <c r="B26" s="3">
        <v>2260</v>
      </c>
    </row>
    <row r="27" spans="1:2" x14ac:dyDescent="0.25">
      <c r="A27" s="4">
        <v>46136</v>
      </c>
      <c r="B27" s="3">
        <v>1800</v>
      </c>
    </row>
    <row r="28" spans="1:2" x14ac:dyDescent="0.25">
      <c r="A28" s="4">
        <v>46137</v>
      </c>
      <c r="B28" s="3">
        <v>420</v>
      </c>
    </row>
    <row r="29" spans="1:2" x14ac:dyDescent="0.25">
      <c r="A29" s="4">
        <v>46138</v>
      </c>
      <c r="B29" s="3">
        <v>2440</v>
      </c>
    </row>
    <row r="30" spans="1:2" x14ac:dyDescent="0.25">
      <c r="A30" s="4">
        <v>46139</v>
      </c>
      <c r="B30" s="3">
        <v>1700</v>
      </c>
    </row>
    <row r="31" spans="1:2" x14ac:dyDescent="0.25">
      <c r="A31" s="4">
        <v>46140</v>
      </c>
      <c r="B31" s="3">
        <v>460</v>
      </c>
    </row>
    <row r="32" spans="1:2" x14ac:dyDescent="0.25">
      <c r="A32" s="4">
        <v>46141</v>
      </c>
      <c r="B32" s="3">
        <v>2050</v>
      </c>
    </row>
    <row r="33" spans="1:2" x14ac:dyDescent="0.25">
      <c r="A33" s="4">
        <v>46142</v>
      </c>
      <c r="B33" s="3">
        <v>2000</v>
      </c>
    </row>
    <row r="34" spans="1:2" x14ac:dyDescent="0.25">
      <c r="A34" s="4" t="s">
        <v>13</v>
      </c>
      <c r="B34" s="3">
        <v>41610</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D576E-B77D-4848-A62A-5D8F79B76B88}">
  <dimension ref="A3:C6"/>
  <sheetViews>
    <sheetView zoomScaleNormal="100" workbookViewId="0">
      <selection activeCell="D3" sqref="D3"/>
    </sheetView>
  </sheetViews>
  <sheetFormatPr defaultRowHeight="15" x14ac:dyDescent="0.25"/>
  <cols>
    <col min="1" max="1" width="13.140625" bestFit="1" customWidth="1"/>
    <col min="2" max="2" width="14.85546875" bestFit="1" customWidth="1"/>
    <col min="3" max="3" width="8.42578125" bestFit="1" customWidth="1"/>
  </cols>
  <sheetData>
    <row r="3" spans="1:3" x14ac:dyDescent="0.25">
      <c r="A3" s="1" t="s">
        <v>12</v>
      </c>
      <c r="B3" t="s">
        <v>14</v>
      </c>
      <c r="C3" t="s">
        <v>20</v>
      </c>
    </row>
    <row r="4" spans="1:3" x14ac:dyDescent="0.25">
      <c r="A4" s="2" t="s">
        <v>18</v>
      </c>
      <c r="B4" s="3">
        <v>21900</v>
      </c>
      <c r="C4" s="5">
        <v>0.52631578947368418</v>
      </c>
    </row>
    <row r="5" spans="1:3" x14ac:dyDescent="0.25">
      <c r="A5" s="2" t="s">
        <v>19</v>
      </c>
      <c r="B5" s="3">
        <v>19710</v>
      </c>
      <c r="C5" s="5">
        <v>0.47368421052631576</v>
      </c>
    </row>
    <row r="6" spans="1:3" x14ac:dyDescent="0.25">
      <c r="A6" s="2" t="s">
        <v>13</v>
      </c>
      <c r="B6" s="3">
        <v>41610</v>
      </c>
      <c r="C6"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37CA6-3577-479A-BDBC-0B4C2C368656}">
  <dimension ref="A1"/>
  <sheetViews>
    <sheetView tabSelected="1" zoomScale="70" zoomScaleNormal="70" workbookViewId="0">
      <selection activeCell="AF11" sqref="AF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CB5C64-BD68-4F9D-9585-0A16087D25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Daily Expense</vt:lpstr>
      <vt:lpstr>Category Analysis</vt:lpstr>
      <vt:lpstr>Payment Analysis</vt:lpstr>
      <vt:lpstr>Trend Analysis</vt:lpstr>
      <vt:lpstr>Extra Effort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2026-04-28T10:46:00Z</dcterms:created>
  <dcterms:modified xsi:type="dcterms:W3CDTF">2026-04-29T06:49:37Z</dcterms:modified>
</cp:coreProperties>
</file>